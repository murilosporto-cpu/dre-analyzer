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ominosbrasil-my.sharepoint.com/personal/priscila_lopes_dominos_com_br/Documents/Área de Trabalho/DRE-OFICIAL/"/>
    </mc:Choice>
  </mc:AlternateContent>
  <xr:revisionPtr revIDLastSave="1" documentId="8_{B6D06BB9-EF9F-4319-B6A0-842B7B3990A8}" xr6:coauthVersionLast="47" xr6:coauthVersionMax="47" xr10:uidLastSave="{1543AB1F-DE22-4295-B764-F44B9784E133}"/>
  <bookViews>
    <workbookView xWindow="-110" yWindow="-110" windowWidth="19420" windowHeight="10300" xr2:uid="{554342A5-D28B-40F7-A5B0-187E83A690CB}"/>
  </bookViews>
  <sheets>
    <sheet name="SIMPLES NACIONAL" sheetId="1" r:id="rId1"/>
    <sheet name="PREMISSAS" sheetId="3" r:id="rId2"/>
    <sheet name="LUCRO REAL c. PIS_COFINS" sheetId="2" state="hidden" r:id="rId3"/>
  </sheets>
  <definedNames>
    <definedName name="_xlnm.Print_Area" localSheetId="1">PREMISSAS!$A$1:$AJ$84</definedName>
    <definedName name="_xlnm.Print_Area" localSheetId="0">'SIMPLES NACIONAL'!$A$1:$S$56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G1" i="1"/>
  <c r="I1" i="1"/>
  <c r="J1" i="1" s="1"/>
  <c r="K1" i="1"/>
  <c r="L1" i="1"/>
  <c r="H16" i="1" l="1"/>
  <c r="C4" i="1" l="1"/>
  <c r="C35" i="1" l="1"/>
  <c r="K24" i="1" l="1"/>
  <c r="K23" i="1"/>
  <c r="K22" i="1"/>
  <c r="I24" i="1"/>
  <c r="I23" i="1"/>
  <c r="I22" i="1"/>
  <c r="G24" i="1"/>
  <c r="G23" i="1"/>
  <c r="G22" i="1"/>
  <c r="E24" i="1"/>
  <c r="E23" i="1"/>
  <c r="E22" i="1"/>
  <c r="C24" i="1"/>
  <c r="C23" i="1"/>
  <c r="C22" i="1"/>
  <c r="K30" i="1"/>
  <c r="I30" i="1"/>
  <c r="G30" i="1"/>
  <c r="E30" i="1"/>
  <c r="F30" i="1" s="1"/>
  <c r="C30" i="1"/>
  <c r="K25" i="1"/>
  <c r="I25" i="1"/>
  <c r="G25" i="1"/>
  <c r="E25" i="1"/>
  <c r="C25" i="1"/>
  <c r="K21" i="1"/>
  <c r="I21" i="1"/>
  <c r="G21" i="1"/>
  <c r="E21" i="1"/>
  <c r="C21" i="1"/>
  <c r="K20" i="1"/>
  <c r="I20" i="1"/>
  <c r="G20" i="1"/>
  <c r="E20" i="1"/>
  <c r="C20" i="1"/>
  <c r="K39" i="1"/>
  <c r="I39" i="1"/>
  <c r="G39" i="1"/>
  <c r="E39" i="1"/>
  <c r="C39" i="1"/>
  <c r="C22" i="3"/>
  <c r="K29" i="1" s="1"/>
  <c r="L29" i="1" s="1"/>
  <c r="C27" i="1"/>
  <c r="K16" i="1"/>
  <c r="I16" i="1"/>
  <c r="G16" i="1"/>
  <c r="E16" i="1"/>
  <c r="C16" i="1"/>
  <c r="K15" i="1"/>
  <c r="I15" i="1"/>
  <c r="G15" i="1"/>
  <c r="E15" i="1"/>
  <c r="C15" i="1"/>
  <c r="K12" i="1"/>
  <c r="L12" i="1" s="1"/>
  <c r="I12" i="1"/>
  <c r="J12" i="1" s="1"/>
  <c r="K13" i="1"/>
  <c r="L13" i="1" s="1"/>
  <c r="I13" i="1"/>
  <c r="J13" i="1" s="1"/>
  <c r="G13" i="1"/>
  <c r="H13" i="1" s="1"/>
  <c r="G12" i="1"/>
  <c r="H12" i="1" s="1"/>
  <c r="E12" i="1"/>
  <c r="C12" i="1"/>
  <c r="D12" i="1" s="1"/>
  <c r="E13" i="1"/>
  <c r="F13" i="1" s="1"/>
  <c r="C13" i="1"/>
  <c r="D13" i="1" s="1"/>
  <c r="K13" i="2"/>
  <c r="I13" i="2"/>
  <c r="G13" i="2"/>
  <c r="E13" i="2"/>
  <c r="C13" i="2"/>
  <c r="C16" i="3"/>
  <c r="K14" i="1" l="1"/>
  <c r="I14" i="1"/>
  <c r="G14" i="1"/>
  <c r="E14" i="1"/>
  <c r="F12" i="1"/>
  <c r="C14" i="1"/>
  <c r="K9" i="1" l="1"/>
  <c r="I9" i="1"/>
  <c r="J9" i="1" s="1"/>
  <c r="G9" i="1"/>
  <c r="H9" i="1" s="1"/>
  <c r="E9" i="1"/>
  <c r="F9" i="1" s="1"/>
  <c r="C9" i="1"/>
  <c r="K6" i="1"/>
  <c r="L6" i="1" s="1"/>
  <c r="I6" i="1"/>
  <c r="J6" i="1" s="1"/>
  <c r="G6" i="1"/>
  <c r="H6" i="1" s="1"/>
  <c r="E6" i="1"/>
  <c r="F6" i="1" s="1"/>
  <c r="C6" i="1"/>
  <c r="D6" i="1" s="1"/>
  <c r="K4" i="1"/>
  <c r="I4" i="1"/>
  <c r="G4" i="1"/>
  <c r="E4" i="1"/>
  <c r="E28" i="1" s="1"/>
  <c r="K40" i="2"/>
  <c r="L40" i="2" s="1"/>
  <c r="I40" i="2"/>
  <c r="J40" i="2" s="1"/>
  <c r="G40" i="2"/>
  <c r="G41" i="2" s="1"/>
  <c r="E40" i="2"/>
  <c r="E41" i="2" s="1"/>
  <c r="C40" i="2"/>
  <c r="D40" i="2" s="1"/>
  <c r="L39" i="2"/>
  <c r="J39" i="2"/>
  <c r="H39" i="2"/>
  <c r="F39" i="2"/>
  <c r="D39" i="2"/>
  <c r="L38" i="2"/>
  <c r="J38" i="2"/>
  <c r="H38" i="2"/>
  <c r="F38" i="2"/>
  <c r="D38" i="2"/>
  <c r="K35" i="2"/>
  <c r="I35" i="2"/>
  <c r="J35" i="2" s="1"/>
  <c r="G35" i="2"/>
  <c r="H35" i="2" s="1"/>
  <c r="E35" i="2"/>
  <c r="C35" i="2"/>
  <c r="L34" i="2"/>
  <c r="J34" i="2"/>
  <c r="H34" i="2"/>
  <c r="F34" i="2"/>
  <c r="D34" i="2"/>
  <c r="K33" i="2"/>
  <c r="L33" i="2" s="1"/>
  <c r="I33" i="2"/>
  <c r="J33" i="2" s="1"/>
  <c r="G33" i="2"/>
  <c r="H33" i="2" s="1"/>
  <c r="E33" i="2"/>
  <c r="F33" i="2" s="1"/>
  <c r="C33" i="2"/>
  <c r="D33" i="2" s="1"/>
  <c r="L32" i="2"/>
  <c r="J32" i="2"/>
  <c r="H32" i="2"/>
  <c r="F32" i="2"/>
  <c r="D32" i="2"/>
  <c r="L30" i="2"/>
  <c r="J30" i="2"/>
  <c r="H30" i="2"/>
  <c r="F30" i="2"/>
  <c r="D30" i="2"/>
  <c r="G29" i="2"/>
  <c r="H29" i="2" s="1"/>
  <c r="K28" i="2"/>
  <c r="L28" i="2" s="1"/>
  <c r="I28" i="2"/>
  <c r="G28" i="2"/>
  <c r="E28" i="2"/>
  <c r="F28" i="2" s="1"/>
  <c r="C28" i="2"/>
  <c r="D28" i="2" s="1"/>
  <c r="L26" i="2"/>
  <c r="J26" i="2"/>
  <c r="H26" i="2"/>
  <c r="F26" i="2"/>
  <c r="D26" i="2"/>
  <c r="L25" i="2"/>
  <c r="J25" i="2"/>
  <c r="H25" i="2"/>
  <c r="F25" i="2"/>
  <c r="D25" i="2"/>
  <c r="L24" i="2"/>
  <c r="J24" i="2"/>
  <c r="H24" i="2"/>
  <c r="F24" i="2"/>
  <c r="D24" i="2"/>
  <c r="L23" i="2"/>
  <c r="I27" i="2"/>
  <c r="J27" i="2" s="1"/>
  <c r="G27" i="2"/>
  <c r="H27" i="2" s="1"/>
  <c r="E27" i="2"/>
  <c r="F27" i="2" s="1"/>
  <c r="D23" i="2"/>
  <c r="L22" i="2"/>
  <c r="J22" i="2"/>
  <c r="H22" i="2"/>
  <c r="F22" i="2"/>
  <c r="D22" i="2"/>
  <c r="L21" i="2"/>
  <c r="J21" i="2"/>
  <c r="H21" i="2"/>
  <c r="F21" i="2"/>
  <c r="D21" i="2"/>
  <c r="L17" i="2"/>
  <c r="J17" i="2"/>
  <c r="H17" i="2"/>
  <c r="F17" i="2"/>
  <c r="D17" i="2"/>
  <c r="K16" i="2"/>
  <c r="L16" i="2" s="1"/>
  <c r="I16" i="2"/>
  <c r="J16" i="2" s="1"/>
  <c r="G16" i="2"/>
  <c r="H16" i="2" s="1"/>
  <c r="E16" i="2"/>
  <c r="F16" i="2" s="1"/>
  <c r="C16" i="2"/>
  <c r="D16" i="2" s="1"/>
  <c r="L13" i="2"/>
  <c r="J13" i="2"/>
  <c r="H13" i="2"/>
  <c r="F13" i="2"/>
  <c r="D13" i="2"/>
  <c r="G10" i="2"/>
  <c r="H10" i="2" s="1"/>
  <c r="K10" i="2"/>
  <c r="L10" i="2" s="1"/>
  <c r="J9" i="2"/>
  <c r="H9" i="2"/>
  <c r="E10" i="2"/>
  <c r="F10" i="2" s="1"/>
  <c r="C10" i="2"/>
  <c r="D10" i="2" s="1"/>
  <c r="L8" i="2"/>
  <c r="J8" i="2"/>
  <c r="H8" i="2"/>
  <c r="F8" i="2"/>
  <c r="D8" i="2"/>
  <c r="L6" i="2"/>
  <c r="J6" i="2"/>
  <c r="H6" i="2"/>
  <c r="F6" i="2"/>
  <c r="D6" i="2"/>
  <c r="I5" i="2"/>
  <c r="J19" i="2" s="1"/>
  <c r="K29" i="2"/>
  <c r="J4" i="2"/>
  <c r="G5" i="2"/>
  <c r="E29" i="2"/>
  <c r="D4" i="2"/>
  <c r="L3" i="2"/>
  <c r="J3" i="2"/>
  <c r="H3" i="2"/>
  <c r="F3" i="2"/>
  <c r="D3" i="2"/>
  <c r="L39" i="1"/>
  <c r="J39" i="1"/>
  <c r="G40" i="1"/>
  <c r="F39" i="1"/>
  <c r="D39" i="1"/>
  <c r="K35" i="1"/>
  <c r="I35" i="1"/>
  <c r="J35" i="1" s="1"/>
  <c r="G35" i="1"/>
  <c r="H35" i="1" s="1"/>
  <c r="E35" i="1"/>
  <c r="L34" i="1"/>
  <c r="J34" i="1"/>
  <c r="H34" i="1"/>
  <c r="F34" i="1"/>
  <c r="D34" i="1"/>
  <c r="K33" i="1"/>
  <c r="L33" i="1" s="1"/>
  <c r="I33" i="1"/>
  <c r="J33" i="1" s="1"/>
  <c r="G33" i="1"/>
  <c r="H33" i="1" s="1"/>
  <c r="E33" i="1"/>
  <c r="F33" i="1" s="1"/>
  <c r="C33" i="1"/>
  <c r="D33" i="1" s="1"/>
  <c r="L32" i="1"/>
  <c r="J32" i="1"/>
  <c r="H32" i="1"/>
  <c r="F32" i="1"/>
  <c r="D32" i="1"/>
  <c r="L30" i="1"/>
  <c r="J30" i="1"/>
  <c r="H30" i="1"/>
  <c r="D30" i="1"/>
  <c r="K27" i="1"/>
  <c r="I27" i="1"/>
  <c r="J27" i="1" s="1"/>
  <c r="G27" i="1"/>
  <c r="H27" i="1" s="1"/>
  <c r="E27" i="1"/>
  <c r="F27" i="1" s="1"/>
  <c r="L25" i="1"/>
  <c r="J25" i="1"/>
  <c r="H25" i="1"/>
  <c r="F25" i="1"/>
  <c r="D25" i="1"/>
  <c r="L24" i="1"/>
  <c r="J24" i="1"/>
  <c r="H24" i="1"/>
  <c r="F24" i="1"/>
  <c r="D24" i="1"/>
  <c r="L23" i="1"/>
  <c r="J23" i="1"/>
  <c r="H23" i="1"/>
  <c r="D23" i="1"/>
  <c r="L22" i="1"/>
  <c r="F22" i="1"/>
  <c r="D22" i="1"/>
  <c r="L21" i="1"/>
  <c r="J21" i="1"/>
  <c r="H21" i="1"/>
  <c r="F21" i="1"/>
  <c r="D21" i="1"/>
  <c r="L20" i="1"/>
  <c r="J20" i="1"/>
  <c r="H20" i="1"/>
  <c r="F20" i="1"/>
  <c r="D20" i="1"/>
  <c r="L16" i="1"/>
  <c r="J16" i="1"/>
  <c r="F16" i="1"/>
  <c r="D16" i="1"/>
  <c r="L15" i="1"/>
  <c r="J15" i="1"/>
  <c r="H15" i="1"/>
  <c r="F15" i="1"/>
  <c r="D15" i="1"/>
  <c r="L14" i="1"/>
  <c r="J14" i="1"/>
  <c r="H14" i="1"/>
  <c r="F14" i="1"/>
  <c r="D14" i="1"/>
  <c r="L3" i="1"/>
  <c r="J3" i="1"/>
  <c r="H3" i="1"/>
  <c r="F3" i="1"/>
  <c r="D3" i="1"/>
  <c r="C5" i="1" l="1"/>
  <c r="C18" i="1" s="1"/>
  <c r="D18" i="1" s="1"/>
  <c r="C28" i="1"/>
  <c r="D28" i="1" s="1"/>
  <c r="G5" i="1"/>
  <c r="G17" i="1" s="1"/>
  <c r="G28" i="1"/>
  <c r="J4" i="1"/>
  <c r="I28" i="1"/>
  <c r="K5" i="1"/>
  <c r="K18" i="1" s="1"/>
  <c r="L18" i="1" s="1"/>
  <c r="K28" i="1"/>
  <c r="L28" i="1" s="1"/>
  <c r="G31" i="2"/>
  <c r="H28" i="2"/>
  <c r="I41" i="2"/>
  <c r="J41" i="2" s="1"/>
  <c r="C40" i="1"/>
  <c r="C42" i="1" s="1"/>
  <c r="D42" i="1" s="1"/>
  <c r="I40" i="1"/>
  <c r="J40" i="1" s="1"/>
  <c r="G26" i="1"/>
  <c r="H26" i="1" s="1"/>
  <c r="I26" i="1"/>
  <c r="J26" i="1" s="1"/>
  <c r="E26" i="1"/>
  <c r="F26" i="1" s="1"/>
  <c r="K40" i="1"/>
  <c r="L40" i="1" s="1"/>
  <c r="L9" i="1"/>
  <c r="I5" i="1"/>
  <c r="I29" i="1" s="1"/>
  <c r="J29" i="1" s="1"/>
  <c r="E43" i="2"/>
  <c r="F43" i="2" s="1"/>
  <c r="F41" i="2"/>
  <c r="H41" i="2"/>
  <c r="G43" i="2"/>
  <c r="H43" i="2" s="1"/>
  <c r="F29" i="2"/>
  <c r="E31" i="2"/>
  <c r="F31" i="2" s="1"/>
  <c r="L29" i="2"/>
  <c r="K31" i="2"/>
  <c r="L31" i="2" s="1"/>
  <c r="H5" i="2"/>
  <c r="H19" i="2"/>
  <c r="G7" i="2"/>
  <c r="H31" i="2"/>
  <c r="C5" i="2"/>
  <c r="K5" i="2"/>
  <c r="I10" i="2"/>
  <c r="J10" i="2" s="1"/>
  <c r="J28" i="2"/>
  <c r="C41" i="2"/>
  <c r="K41" i="2"/>
  <c r="I43" i="2"/>
  <c r="J43" i="2" s="1"/>
  <c r="L4" i="2"/>
  <c r="F23" i="2"/>
  <c r="K27" i="2"/>
  <c r="L27" i="2" s="1"/>
  <c r="F4" i="2"/>
  <c r="D9" i="2"/>
  <c r="L9" i="2"/>
  <c r="H23" i="2"/>
  <c r="I29" i="2"/>
  <c r="J29" i="2" s="1"/>
  <c r="D35" i="2"/>
  <c r="L35" i="2"/>
  <c r="F40" i="2"/>
  <c r="C27" i="2"/>
  <c r="D27" i="2" s="1"/>
  <c r="E5" i="2"/>
  <c r="I7" i="2"/>
  <c r="J5" i="2"/>
  <c r="H4" i="2"/>
  <c r="F9" i="2"/>
  <c r="J23" i="2"/>
  <c r="C29" i="2"/>
  <c r="F35" i="2"/>
  <c r="H40" i="2"/>
  <c r="H40" i="1"/>
  <c r="G42" i="1"/>
  <c r="H42" i="1" s="1"/>
  <c r="F28" i="1"/>
  <c r="L35" i="1"/>
  <c r="F4" i="1"/>
  <c r="F23" i="1"/>
  <c r="D4" i="1"/>
  <c r="L4" i="1"/>
  <c r="C26" i="1"/>
  <c r="D26" i="1" s="1"/>
  <c r="K26" i="1"/>
  <c r="L26" i="1" s="1"/>
  <c r="H22" i="1"/>
  <c r="D35" i="1"/>
  <c r="E5" i="1"/>
  <c r="E29" i="1" s="1"/>
  <c r="F29" i="1" s="1"/>
  <c r="D9" i="1"/>
  <c r="D27" i="1"/>
  <c r="L27" i="1"/>
  <c r="E40" i="1"/>
  <c r="H4" i="1"/>
  <c r="J22" i="1"/>
  <c r="F35" i="1"/>
  <c r="H39" i="1"/>
  <c r="H5" i="1" l="1"/>
  <c r="G7" i="1"/>
  <c r="G11" i="1" s="1"/>
  <c r="H11" i="1" s="1"/>
  <c r="I31" i="1"/>
  <c r="J31" i="1" s="1"/>
  <c r="G18" i="1"/>
  <c r="H18" i="1" s="1"/>
  <c r="G29" i="1"/>
  <c r="H29" i="1" s="1"/>
  <c r="E31" i="1"/>
  <c r="F31" i="1" s="1"/>
  <c r="C17" i="1"/>
  <c r="D17" i="1" s="1"/>
  <c r="C29" i="1"/>
  <c r="D29" i="1" s="1"/>
  <c r="D5" i="1"/>
  <c r="C7" i="1"/>
  <c r="D7" i="1" s="1"/>
  <c r="K42" i="1"/>
  <c r="L42" i="1" s="1"/>
  <c r="D40" i="1"/>
  <c r="K17" i="1"/>
  <c r="L17" i="1" s="1"/>
  <c r="K7" i="1"/>
  <c r="L7" i="1" s="1"/>
  <c r="L5" i="1"/>
  <c r="I42" i="1"/>
  <c r="J42" i="1" s="1"/>
  <c r="I18" i="1"/>
  <c r="J18" i="1" s="1"/>
  <c r="I17" i="1"/>
  <c r="E18" i="1"/>
  <c r="F18" i="1" s="1"/>
  <c r="E17" i="1"/>
  <c r="J28" i="1"/>
  <c r="K31" i="1"/>
  <c r="L31" i="1" s="1"/>
  <c r="J5" i="1"/>
  <c r="I7" i="1"/>
  <c r="J7" i="1" s="1"/>
  <c r="J7" i="2"/>
  <c r="I12" i="2"/>
  <c r="J12" i="2" s="1"/>
  <c r="C43" i="2"/>
  <c r="D43" i="2" s="1"/>
  <c r="D41" i="2"/>
  <c r="H7" i="2"/>
  <c r="G12" i="2"/>
  <c r="H12" i="2" s="1"/>
  <c r="C7" i="2"/>
  <c r="D5" i="2"/>
  <c r="D19" i="2"/>
  <c r="F5" i="2"/>
  <c r="F19" i="2"/>
  <c r="E7" i="2"/>
  <c r="G20" i="2"/>
  <c r="H18" i="2"/>
  <c r="K7" i="2"/>
  <c r="L19" i="2"/>
  <c r="L5" i="2"/>
  <c r="D29" i="2"/>
  <c r="C31" i="2"/>
  <c r="I20" i="2"/>
  <c r="J20" i="2" s="1"/>
  <c r="J18" i="2"/>
  <c r="K43" i="2"/>
  <c r="L43" i="2" s="1"/>
  <c r="L41" i="2"/>
  <c r="I31" i="2"/>
  <c r="H17" i="1"/>
  <c r="E42" i="1"/>
  <c r="F42" i="1" s="1"/>
  <c r="F40" i="1"/>
  <c r="H28" i="1"/>
  <c r="F5" i="1"/>
  <c r="E7" i="1"/>
  <c r="H7" i="1" l="1"/>
  <c r="G31" i="1"/>
  <c r="H31" i="1" s="1"/>
  <c r="C19" i="1"/>
  <c r="D19" i="1" s="1"/>
  <c r="G19" i="1"/>
  <c r="H19" i="1" s="1"/>
  <c r="C31" i="1"/>
  <c r="D31" i="1" s="1"/>
  <c r="C11" i="1"/>
  <c r="D11" i="1" s="1"/>
  <c r="K19" i="1"/>
  <c r="L19" i="1" s="1"/>
  <c r="K11" i="1"/>
  <c r="L11" i="1" s="1"/>
  <c r="I19" i="1"/>
  <c r="J19" i="1" s="1"/>
  <c r="I11" i="1"/>
  <c r="J11" i="1" s="1"/>
  <c r="J17" i="1"/>
  <c r="D18" i="2"/>
  <c r="C20" i="2"/>
  <c r="D20" i="2" s="1"/>
  <c r="H20" i="2"/>
  <c r="G37" i="2"/>
  <c r="J31" i="2"/>
  <c r="I37" i="2"/>
  <c r="F18" i="2"/>
  <c r="E20" i="2"/>
  <c r="D31" i="2"/>
  <c r="C37" i="2"/>
  <c r="L7" i="2"/>
  <c r="K12" i="2"/>
  <c r="L12" i="2" s="1"/>
  <c r="E12" i="2"/>
  <c r="F12" i="2" s="1"/>
  <c r="F7" i="2"/>
  <c r="L18" i="2"/>
  <c r="K20" i="2"/>
  <c r="D7" i="2"/>
  <c r="C12" i="2"/>
  <c r="D12" i="2" s="1"/>
  <c r="F7" i="1"/>
  <c r="E11" i="1"/>
  <c r="F11" i="1" s="1"/>
  <c r="E19" i="1"/>
  <c r="F17" i="1"/>
  <c r="G37" i="1" l="1"/>
  <c r="G44" i="1" s="1"/>
  <c r="H44" i="1" s="1"/>
  <c r="C37" i="1"/>
  <c r="D37" i="1" s="1"/>
  <c r="K37" i="1"/>
  <c r="L37" i="1" s="1"/>
  <c r="I37" i="1"/>
  <c r="I44" i="1" s="1"/>
  <c r="J44" i="1" s="1"/>
  <c r="L20" i="2"/>
  <c r="K37" i="2"/>
  <c r="F20" i="2"/>
  <c r="E37" i="2"/>
  <c r="I45" i="2"/>
  <c r="J45" i="2" s="1"/>
  <c r="J37" i="2"/>
  <c r="H37" i="2"/>
  <c r="G45" i="2"/>
  <c r="H45" i="2" s="1"/>
  <c r="C45" i="2"/>
  <c r="D45" i="2" s="1"/>
  <c r="D37" i="2"/>
  <c r="F19" i="1"/>
  <c r="E37" i="1"/>
  <c r="H37" i="1" l="1"/>
  <c r="C44" i="1"/>
  <c r="D44" i="1" s="1"/>
  <c r="K44" i="1"/>
  <c r="L44" i="1" s="1"/>
  <c r="J37" i="1"/>
  <c r="F37" i="2"/>
  <c r="E45" i="2"/>
  <c r="F45" i="2" s="1"/>
  <c r="K45" i="2"/>
  <c r="L45" i="2" s="1"/>
  <c r="L37" i="2"/>
  <c r="F37" i="1"/>
  <c r="E44" i="1"/>
  <c r="F44" i="1" s="1"/>
</calcChain>
</file>

<file path=xl/sharedStrings.xml><?xml version="1.0" encoding="utf-8"?>
<sst xmlns="http://schemas.openxmlformats.org/spreadsheetml/2006/main" count="206" uniqueCount="127">
  <si>
    <t>DEMONSTRAÇÃO DE RESULTADO DO EXERCÍCIO - DRE</t>
  </si>
  <si>
    <t>150K</t>
  </si>
  <si>
    <t>150K - AV%</t>
  </si>
  <si>
    <t>200K</t>
  </si>
  <si>
    <t>200K - AV%</t>
  </si>
  <si>
    <t>250K</t>
  </si>
  <si>
    <t>250K - AV%</t>
  </si>
  <si>
    <t>300K</t>
  </si>
  <si>
    <t>300K - AV%</t>
  </si>
  <si>
    <t>400K</t>
  </si>
  <si>
    <t>400K - AV%</t>
  </si>
  <si>
    <t>Receita Vendas</t>
  </si>
  <si>
    <t>Receita Serviços (Taxa de Entrega, Receita Merchandising)</t>
  </si>
  <si>
    <t>= Receita Operacional Bruta</t>
  </si>
  <si>
    <t>(-) Impostos (ICMS, PIS, COFINS e ISS)</t>
  </si>
  <si>
    <t>= Receita Líquida</t>
  </si>
  <si>
    <t>= CMV</t>
  </si>
  <si>
    <t>(-) Fretes</t>
  </si>
  <si>
    <t>= CMV com Frete</t>
  </si>
  <si>
    <t xml:space="preserve"> = Lucro Bruto</t>
  </si>
  <si>
    <t xml:space="preserve"> = Custo de Pessoal</t>
  </si>
  <si>
    <t xml:space="preserve"> = Custo de Ocupação</t>
  </si>
  <si>
    <t>= Custo de Manutenção de Máquinas e Equipamentos</t>
  </si>
  <si>
    <t>(-) Plataforma Agregadores (Taxas Ifood e Rappi)</t>
  </si>
  <si>
    <t>(-) Custo Cartão Crédito (Máquina e Transações)</t>
  </si>
  <si>
    <t>= Custos Terceiros</t>
  </si>
  <si>
    <t>(-) Custo Telefone e Internet</t>
  </si>
  <si>
    <t>(-) Custo GCOM</t>
  </si>
  <si>
    <t>(-) Custo Água e Esgoto</t>
  </si>
  <si>
    <t>(-) Custo Energia Elétrica</t>
  </si>
  <si>
    <t>(-) Custo Gás</t>
  </si>
  <si>
    <t>(-) Material uso e consumo</t>
  </si>
  <si>
    <t xml:space="preserve"> = Custo Utilidades</t>
  </si>
  <si>
    <t xml:space="preserve">(-) Royalties Venda </t>
  </si>
  <si>
    <t>(-) Royalties Taxa de Entrega</t>
  </si>
  <si>
    <t>(-) Taxa de Manutenção e Adesão aos sistemas (PULSE, GOLO e Ambiente Online)</t>
  </si>
  <si>
    <t>= Royalties e Repasse DPI</t>
  </si>
  <si>
    <t>(-) Taxas e Licenças (Anvisa, Corpo de Bombeiros, Prefeitura e outras)</t>
  </si>
  <si>
    <t>= Taxas e Licenças</t>
  </si>
  <si>
    <t xml:space="preserve">(-) Outros Custos Operacionais </t>
  </si>
  <si>
    <t>= Outros Custos Operacionais</t>
  </si>
  <si>
    <t>= Totais Custos Operacionais</t>
  </si>
  <si>
    <t xml:space="preserve">                  (-) Propaganda, Publicidade, Brindes, Feiras e Convenções</t>
  </si>
  <si>
    <t xml:space="preserve">                  (-) Fundo de Marketing (AD Fund)</t>
  </si>
  <si>
    <t>= Marketing</t>
  </si>
  <si>
    <t>= Despesas Comerciais</t>
  </si>
  <si>
    <t>= EBITDA</t>
  </si>
  <si>
    <t>PREMISSAS</t>
  </si>
  <si>
    <t>DRE PADRÃO - REDE</t>
  </si>
  <si>
    <t>Orientações</t>
  </si>
  <si>
    <t>Preencher apenas células amarelas</t>
  </si>
  <si>
    <t>&gt;&gt;&gt; RECEITA BRUTA</t>
  </si>
  <si>
    <t>FATURAMENTO - TAXA DE ENTREGA</t>
  </si>
  <si>
    <t>SHARE CANAIS</t>
  </si>
  <si>
    <t>BALCÃO</t>
  </si>
  <si>
    <t>TELEFONE</t>
  </si>
  <si>
    <t>APP</t>
  </si>
  <si>
    <t>IFOOD</t>
  </si>
  <si>
    <t>AGREGADORES</t>
  </si>
  <si>
    <t>SHARE MÉTODO DE ENTREGA</t>
  </si>
  <si>
    <t>BALCÃO/CARRY OUT</t>
  </si>
  <si>
    <t>DELIVERY</t>
  </si>
  <si>
    <t>Valor por entrega</t>
  </si>
  <si>
    <t>% Frete grátis</t>
  </si>
  <si>
    <t>TICKET MÉDIO</t>
  </si>
  <si>
    <t>&gt;&gt;&gt; DEDUTORES DA RECEITA</t>
  </si>
  <si>
    <t>Bebidas</t>
  </si>
  <si>
    <t>PROPORÇÃO PRODUTOS</t>
  </si>
  <si>
    <t>PIS</t>
  </si>
  <si>
    <t>COFINS</t>
  </si>
  <si>
    <t>ICMS</t>
  </si>
  <si>
    <t>&gt;&gt;&gt; CMV + FRETE</t>
  </si>
  <si>
    <t>350K</t>
  </si>
  <si>
    <t>Outras sobremesas/Sanduiches</t>
  </si>
  <si>
    <t>Pizzas salgadas e doces</t>
  </si>
  <si>
    <t>ALÍQUOTAS - SIMPLES NACIONAL</t>
  </si>
  <si>
    <t>ALÍQUOTAS - LUCRO REAL</t>
  </si>
  <si>
    <t>CMV + FRETE</t>
  </si>
  <si>
    <t>CMV IDEAL COM FRETE</t>
  </si>
  <si>
    <t>DESPERDÍCIO</t>
  </si>
  <si>
    <t>&gt;&gt;&gt; PESSOAL</t>
  </si>
  <si>
    <t>HEADCOUNT E CUSTO</t>
  </si>
  <si>
    <t>QNTDE</t>
  </si>
  <si>
    <t>CUSTO</t>
  </si>
  <si>
    <t>OPERADOR</t>
  </si>
  <si>
    <t>GERENTE</t>
  </si>
  <si>
    <t>ESPECIALISTA</t>
  </si>
  <si>
    <t>CUSTO POR ENTREGA</t>
  </si>
  <si>
    <t>CUSTO UNIT</t>
  </si>
  <si>
    <t>(-) Custo pessoal salão</t>
  </si>
  <si>
    <t>(-) Custo especialistas</t>
  </si>
  <si>
    <t>&gt;&gt;&gt; OCUPAÇÃO</t>
  </si>
  <si>
    <t>OCUPAÇÃO</t>
  </si>
  <si>
    <t>ALUGUEL + IPTU</t>
  </si>
  <si>
    <t>&gt;&gt;&gt; MANUTENÇÃO</t>
  </si>
  <si>
    <t>MANUTENÇÃO</t>
  </si>
  <si>
    <t>&gt;&gt;&gt; TAXAS DE CARTÃO E AGREGADORES</t>
  </si>
  <si>
    <t>ADYEN</t>
  </si>
  <si>
    <t>CARTÕES</t>
  </si>
  <si>
    <t>&gt;&gt;&gt; UTILIDADES</t>
  </si>
  <si>
    <t>UTILIDADES</t>
  </si>
  <si>
    <t>TELEFONE + INTERNET</t>
  </si>
  <si>
    <t>ÁGUA</t>
  </si>
  <si>
    <t>GÁS</t>
  </si>
  <si>
    <t>GCOM</t>
  </si>
  <si>
    <t>ENERGIA</t>
  </si>
  <si>
    <t>MATERIAL USO E CONSUMO</t>
  </si>
  <si>
    <t>&gt;&gt;&gt; FRANQUEADORA</t>
  </si>
  <si>
    <t>FRANQUEADORA</t>
  </si>
  <si>
    <t>ROYALTIES VENDA</t>
  </si>
  <si>
    <t>ROYALTIES TAXA DE ENTREGA</t>
  </si>
  <si>
    <t>(-) Contador</t>
  </si>
  <si>
    <t>&gt;&gt;&gt; ASSOCIAÇÃO</t>
  </si>
  <si>
    <t>ASSOCIAÇÃO</t>
  </si>
  <si>
    <t>FUNDO DE MARKETING</t>
  </si>
  <si>
    <t>PULSE - PEDIDO ONLINE (tarifa)</t>
  </si>
  <si>
    <t>(-) Pedido online + Fundo Ifood</t>
  </si>
  <si>
    <t>FUNDO IFOOD</t>
  </si>
  <si>
    <t>PULSE+GOLO+MAPPING FEE</t>
  </si>
  <si>
    <t>350K - AV%</t>
  </si>
  <si>
    <t>INCLUIR ALUGUEL DE MÁQUINAS</t>
  </si>
  <si>
    <t>(-) Impostos</t>
  </si>
  <si>
    <t>incluir sonnax</t>
  </si>
  <si>
    <t>avaliar custo do toten</t>
  </si>
  <si>
    <t>TM</t>
  </si>
  <si>
    <t>Premissas críticas</t>
  </si>
  <si>
    <t>Receita Serviços (Taxa de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</si>
</sst>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[$€-2]* #,##0.00_);_([$€-2]* \(#,##0.00\);_([$€-2]* &quot;-&quot;??_)"/>
    <numFmt numFmtId="166" formatCode="0.0%"/>
    <numFmt numFmtId="167" formatCode="&quot;R$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9"/>
      <color indexed="10"/>
      <name val="Geneva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u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8A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5" fillId="0" borderId="0"/>
    <xf numFmtId="165" fontId="8" fillId="0" borderId="0"/>
  </cellStyleXfs>
  <cellXfs count="6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left"/>
    </xf>
    <xf numFmtId="43" fontId="3" fillId="3" borderId="2" xfId="1" applyFont="1" applyFill="1" applyBorder="1" applyAlignment="1">
      <alignment horizontal="left"/>
    </xf>
    <xf numFmtId="9" fontId="3" fillId="3" borderId="2" xfId="2" applyFont="1" applyFill="1" applyBorder="1" applyAlignment="1">
      <alignment horizontal="center"/>
    </xf>
    <xf numFmtId="165" fontId="6" fillId="4" borderId="2" xfId="3" quotePrefix="1" applyFont="1" applyFill="1" applyBorder="1" applyAlignment="1">
      <alignment horizontal="left" vertical="center"/>
    </xf>
    <xf numFmtId="43" fontId="6" fillId="4" borderId="2" xfId="1" quotePrefix="1" applyFont="1" applyFill="1" applyBorder="1" applyAlignment="1">
      <alignment horizontal="left" vertical="center"/>
    </xf>
    <xf numFmtId="9" fontId="6" fillId="4" borderId="2" xfId="2" quotePrefix="1" applyFont="1" applyFill="1" applyBorder="1" applyAlignment="1">
      <alignment horizontal="center" vertical="center"/>
    </xf>
    <xf numFmtId="43" fontId="3" fillId="0" borderId="0" xfId="1" applyFont="1"/>
    <xf numFmtId="165" fontId="7" fillId="5" borderId="2" xfId="3" quotePrefix="1" applyFont="1" applyFill="1" applyBorder="1" applyAlignment="1">
      <alignment horizontal="left" vertical="center"/>
    </xf>
    <xf numFmtId="43" fontId="7" fillId="5" borderId="2" xfId="1" quotePrefix="1" applyFont="1" applyFill="1" applyBorder="1" applyAlignment="1">
      <alignment horizontal="left" vertical="center"/>
    </xf>
    <xf numFmtId="9" fontId="7" fillId="5" borderId="2" xfId="2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43" fontId="3" fillId="0" borderId="2" xfId="1" applyFont="1" applyBorder="1" applyAlignment="1">
      <alignment horizontal="left"/>
    </xf>
    <xf numFmtId="9" fontId="3" fillId="0" borderId="2" xfId="2" applyFont="1" applyBorder="1" applyAlignment="1">
      <alignment horizontal="center"/>
    </xf>
    <xf numFmtId="165" fontId="6" fillId="3" borderId="2" xfId="3" quotePrefix="1" applyFont="1" applyFill="1" applyBorder="1" applyAlignment="1">
      <alignment horizontal="left" vertical="center"/>
    </xf>
    <xf numFmtId="43" fontId="6" fillId="3" borderId="2" xfId="1" quotePrefix="1" applyFont="1" applyFill="1" applyBorder="1" applyAlignment="1">
      <alignment horizontal="left" vertical="center"/>
    </xf>
    <xf numFmtId="9" fontId="6" fillId="3" borderId="2" xfId="2" quotePrefix="1" applyFont="1" applyFill="1" applyBorder="1" applyAlignment="1">
      <alignment horizontal="center" vertical="center"/>
    </xf>
    <xf numFmtId="166" fontId="3" fillId="3" borderId="2" xfId="2" applyNumberFormat="1" applyFont="1" applyFill="1" applyBorder="1" applyAlignment="1">
      <alignment horizontal="center"/>
    </xf>
    <xf numFmtId="43" fontId="3" fillId="3" borderId="2" xfId="1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left"/>
    </xf>
    <xf numFmtId="164" fontId="3" fillId="0" borderId="2" xfId="0" quotePrefix="1" applyNumberFormat="1" applyFont="1" applyBorder="1" applyAlignment="1">
      <alignment horizontal="left"/>
    </xf>
    <xf numFmtId="43" fontId="3" fillId="0" borderId="2" xfId="1" quotePrefix="1" applyFont="1" applyBorder="1" applyAlignment="1">
      <alignment horizontal="left"/>
    </xf>
    <xf numFmtId="9" fontId="3" fillId="0" borderId="2" xfId="2" quotePrefix="1" applyFont="1" applyBorder="1" applyAlignment="1">
      <alignment horizontal="center"/>
    </xf>
    <xf numFmtId="165" fontId="9" fillId="3" borderId="2" xfId="4" applyFont="1" applyFill="1" applyBorder="1" applyAlignment="1">
      <alignment horizontal="left" vertical="center"/>
    </xf>
    <xf numFmtId="43" fontId="9" fillId="3" borderId="2" xfId="1" applyFont="1" applyFill="1" applyBorder="1" applyAlignment="1">
      <alignment horizontal="left" vertical="center"/>
    </xf>
    <xf numFmtId="165" fontId="9" fillId="0" borderId="2" xfId="4" applyFont="1" applyBorder="1" applyAlignment="1">
      <alignment horizontal="left" vertical="center"/>
    </xf>
    <xf numFmtId="43" fontId="9" fillId="0" borderId="2" xfId="1" applyFont="1" applyBorder="1" applyAlignment="1">
      <alignment horizontal="left" vertical="center"/>
    </xf>
    <xf numFmtId="165" fontId="6" fillId="4" borderId="3" xfId="3" quotePrefix="1" applyFont="1" applyFill="1" applyBorder="1" applyAlignment="1">
      <alignment horizontal="left" vertical="center"/>
    </xf>
    <xf numFmtId="43" fontId="6" fillId="4" borderId="3" xfId="1" quotePrefix="1" applyFont="1" applyFill="1" applyBorder="1" applyAlignment="1">
      <alignment horizontal="left" vertical="center"/>
    </xf>
    <xf numFmtId="9" fontId="6" fillId="4" borderId="3" xfId="2" quotePrefix="1" applyFont="1" applyFill="1" applyBorder="1" applyAlignment="1">
      <alignment horizontal="center" vertical="center"/>
    </xf>
    <xf numFmtId="165" fontId="6" fillId="4" borderId="1" xfId="3" quotePrefix="1" applyFont="1" applyFill="1" applyBorder="1" applyAlignment="1">
      <alignment horizontal="left" vertical="center"/>
    </xf>
    <xf numFmtId="43" fontId="6" fillId="4" borderId="1" xfId="1" quotePrefix="1" applyFont="1" applyFill="1" applyBorder="1" applyAlignment="1">
      <alignment horizontal="left" vertical="center"/>
    </xf>
    <xf numFmtId="9" fontId="6" fillId="4" borderId="1" xfId="2" quotePrefix="1" applyFont="1" applyFill="1" applyBorder="1" applyAlignment="1">
      <alignment horizontal="center" vertical="center"/>
    </xf>
    <xf numFmtId="0" fontId="2" fillId="0" borderId="0" xfId="0" applyFont="1"/>
    <xf numFmtId="0" fontId="10" fillId="0" borderId="0" xfId="0" applyFont="1"/>
    <xf numFmtId="0" fontId="11" fillId="6" borderId="0" xfId="0" applyFont="1" applyFill="1"/>
    <xf numFmtId="0" fontId="12" fillId="0" borderId="0" xfId="0" applyFont="1"/>
    <xf numFmtId="0" fontId="13" fillId="0" borderId="0" xfId="0" applyFont="1"/>
    <xf numFmtId="0" fontId="14" fillId="7" borderId="4" xfId="0" applyFont="1" applyFill="1" applyBorder="1" applyAlignment="1">
      <alignment horizontal="centerContinuous"/>
    </xf>
    <xf numFmtId="0" fontId="15" fillId="7" borderId="4" xfId="0" applyFont="1" applyFill="1" applyBorder="1" applyAlignment="1">
      <alignment horizontal="centerContinuous"/>
    </xf>
    <xf numFmtId="0" fontId="13" fillId="0" borderId="4" xfId="0" applyFont="1" applyBorder="1"/>
    <xf numFmtId="0" fontId="2" fillId="0" borderId="0" xfId="0" applyFont="1" applyAlignment="1">
      <alignment horizontal="center"/>
    </xf>
    <xf numFmtId="166" fontId="16" fillId="6" borderId="4" xfId="2" applyNumberFormat="1" applyFont="1" applyFill="1" applyBorder="1" applyAlignment="1">
      <alignment horizontal="center"/>
    </xf>
    <xf numFmtId="43" fontId="3" fillId="0" borderId="0" xfId="0" applyNumberFormat="1" applyFont="1"/>
    <xf numFmtId="167" fontId="16" fillId="6" borderId="4" xfId="2" applyNumberFormat="1" applyFont="1" applyFill="1" applyBorder="1" applyAlignment="1">
      <alignment horizontal="center"/>
    </xf>
    <xf numFmtId="9" fontId="16" fillId="6" borderId="4" xfId="2" applyFont="1" applyFill="1" applyBorder="1" applyAlignment="1">
      <alignment horizontal="center"/>
    </xf>
    <xf numFmtId="10" fontId="16" fillId="6" borderId="4" xfId="2" applyNumberFormat="1" applyFont="1" applyFill="1" applyBorder="1" applyAlignment="1">
      <alignment horizontal="center"/>
    </xf>
    <xf numFmtId="166" fontId="3" fillId="0" borderId="0" xfId="2" applyNumberFormat="1" applyFont="1"/>
    <xf numFmtId="0" fontId="2" fillId="8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6" fillId="6" borderId="4" xfId="0" applyFont="1" applyFill="1" applyBorder="1" applyAlignment="1">
      <alignment horizontal="center"/>
    </xf>
    <xf numFmtId="165" fontId="17" fillId="9" borderId="1" xfId="3" quotePrefix="1" applyFont="1" applyFill="1" applyBorder="1" applyAlignment="1">
      <alignment horizontal="left" vertical="center"/>
    </xf>
    <xf numFmtId="43" fontId="17" fillId="9" borderId="1" xfId="1" quotePrefix="1" applyFont="1" applyFill="1" applyBorder="1" applyAlignment="1">
      <alignment horizontal="left" vertical="center"/>
    </xf>
    <xf numFmtId="9" fontId="17" fillId="9" borderId="1" xfId="2" quotePrefix="1" applyFont="1" applyFill="1" applyBorder="1" applyAlignment="1">
      <alignment horizontal="center" vertical="center"/>
    </xf>
    <xf numFmtId="166" fontId="17" fillId="9" borderId="1" xfId="2" quotePrefix="1" applyNumberFormat="1" applyFont="1" applyFill="1" applyBorder="1" applyAlignment="1">
      <alignment horizontal="center" vertical="center"/>
    </xf>
    <xf numFmtId="0" fontId="11" fillId="10" borderId="0" xfId="0" applyFont="1" applyFill="1"/>
    <xf numFmtId="0" fontId="13" fillId="10" borderId="4" xfId="0" applyFont="1" applyFill="1" applyBorder="1"/>
  </cellXfs>
  <cellStyles count="5">
    <cellStyle name="Cancel" xfId="3" xr:uid="{538CCECD-C87E-4804-861B-0BDD2C298454}"/>
    <cellStyle name="Normal" xfId="0" builtinId="0"/>
    <cellStyle name="Normal 2 2 2" xfId="4" xr:uid="{0D2D38F1-BF0A-4608-9593-BE96AD70D6F2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Domino%27s_Pizza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141287</xdr:colOff>
      <xdr:row>0</xdr:row>
      <xdr:rowOff>85725</xdr:rowOff>
    </xdr:from>
    <xdr:to>
      <xdr:col>1</xdr:col>
      <xdr:colOff>507579</xdr:colOff>
      <xdr:row>3</xdr:row>
      <xdr:rowOff>4499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A5C440-B300-4088-8A59-8EF86B125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52412" y="85725"/>
          <a:ext cx="363117" cy="475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7F32-8C75-4532-B57C-4AE8E71D0345}">
  <dimension ref="B1:N44"/>
  <sheetViews>
    <sheetView showGridLines="0" tabSelected="1" zoomScale="90" zoomScaleNormal="90" workbookViewId="0">
      <selection activeCell="H13" sqref="H13"/>
    </sheetView>
  </sheetViews>
  <sheetFormatPr defaultColWidth="9.1796875" defaultRowHeight="13" outlineLevelRow="1"/>
  <cols>
    <col min="1" max="1" width="3.26953125" style="1" customWidth="1"/>
    <col min="2" max="2" width="48.81640625" style="1" customWidth="1"/>
    <col min="3" max="3" width="13.453125" style="1" bestFit="1" customWidth="1"/>
    <col min="4" max="11" width="12" style="1" customWidth="1"/>
    <col min="12" max="12" width="12.453125" style="1" customWidth="1"/>
    <col min="13" max="16384" width="9.1796875" style="1"/>
  </cols>
  <sheetData>
    <row r="1" spans="2:14" ht="13.5" thickBot="1">
      <c r="B1" s="46"/>
      <c r="C1" s="46"/>
      <c r="D1" s="50"/>
      <c r="E1" s="46"/>
      <c r="F1" s="50"/>
      <c r="G1" s="10">
        <f>G3/PREMISSAS!$C$12</f>
        <v>3067.4846625766872</v>
      </c>
      <c r="H1" s="10">
        <f>G1/30*7</f>
        <v>715.74642126789377</v>
      </c>
      <c r="I1" s="10">
        <f>I3/PREMISSAS!$C$12</f>
        <v>3680.9815950920247</v>
      </c>
      <c r="J1" s="10">
        <f>I1*30*7</f>
        <v>773006.13496932515</v>
      </c>
      <c r="K1" s="46">
        <f>K3/PREMISSAS!$C$12</f>
        <v>4294.4785276073617</v>
      </c>
      <c r="L1" s="10">
        <f>K1*30*7</f>
        <v>901840.49079754599</v>
      </c>
    </row>
    <row r="2" spans="2:14" ht="13.5" thickBo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72</v>
      </c>
      <c r="L2" s="3" t="s">
        <v>119</v>
      </c>
    </row>
    <row r="3" spans="2:14">
      <c r="B3" s="4" t="s">
        <v>11</v>
      </c>
      <c r="C3" s="5">
        <v>150000</v>
      </c>
      <c r="D3" s="6">
        <f>C3/C$3</f>
        <v>1</v>
      </c>
      <c r="E3" s="5">
        <v>200000</v>
      </c>
      <c r="F3" s="6">
        <f>E3/E$3</f>
        <v>1</v>
      </c>
      <c r="G3" s="5">
        <v>250000</v>
      </c>
      <c r="H3" s="6">
        <f>G3/G$3</f>
        <v>1</v>
      </c>
      <c r="I3" s="5">
        <v>300000</v>
      </c>
      <c r="J3" s="6">
        <f>I3/I$3</f>
        <v>1</v>
      </c>
      <c r="K3" s="5">
        <v>350000</v>
      </c>
      <c r="L3" s="6">
        <f>K3/K$3</f>
        <v>1</v>
      </c>
    </row>
    <row r="4" spans="2:14">
      <c r="B4" s="4" t="s">
        <v>126</v>
      </c>
      <c r="C4" s="5">
        <f>C3/PREMISSAS!$C$12*PREMISSAS!$C$27*(1-PREMISSAS!$C$17)*PREMISSAS!$C$16</f>
        <v>15349.693251533745</v>
      </c>
      <c r="D4" s="6">
        <f>C4/C$3</f>
        <v>0.1023312883435583</v>
      </c>
      <c r="E4" s="5">
        <f>E3/PREMISSAS!$C$12*PREMISSAS!$C$27*(1-PREMISSAS!$C$17)*PREMISSAS!$C$16</f>
        <v>20466.257668711656</v>
      </c>
      <c r="F4" s="6">
        <f>E4/E$3</f>
        <v>0.10233128834355829</v>
      </c>
      <c r="G4" s="5">
        <f>G3/PREMISSAS!$C$12*PREMISSAS!$C$27*(1-PREMISSAS!$C$17)*PREMISSAS!$C$16</f>
        <v>25582.822085889573</v>
      </c>
      <c r="H4" s="6">
        <f>G4/G$3</f>
        <v>0.10233128834355829</v>
      </c>
      <c r="I4" s="5">
        <f>I3/PREMISSAS!$C$12*PREMISSAS!$C$27*(1-PREMISSAS!$C$17)*PREMISSAS!$C$16</f>
        <v>30699.38650306749</v>
      </c>
      <c r="J4" s="6">
        <f>I4/I$3</f>
        <v>0.1023312883435583</v>
      </c>
      <c r="K4" s="5">
        <f>K3/PREMISSAS!$C$12*PREMISSAS!$C$27*(1-PREMISSAS!$C$17)*PREMISSAS!$C$16</f>
        <v>35815.950920245399</v>
      </c>
      <c r="L4" s="6">
        <f>K4/K$3</f>
        <v>0.10233128834355829</v>
      </c>
    </row>
    <row r="5" spans="2:14">
      <c r="B5" s="7" t="s">
        <v>13</v>
      </c>
      <c r="C5" s="8">
        <f>SUM(C3:C4)</f>
        <v>165349.69325153375</v>
      </c>
      <c r="D5" s="9">
        <f t="shared" ref="D5:F9" si="0">C5/C$3</f>
        <v>1.1023312883435583</v>
      </c>
      <c r="E5" s="8">
        <f>SUM(E3:E4)</f>
        <v>220466.25766871165</v>
      </c>
      <c r="F5" s="9">
        <f t="shared" si="0"/>
        <v>1.1023312883435583</v>
      </c>
      <c r="G5" s="8">
        <f>SUM(G3:G4)</f>
        <v>275582.82208588958</v>
      </c>
      <c r="H5" s="9">
        <f>G5/G$3</f>
        <v>1.1023312883435583</v>
      </c>
      <c r="I5" s="8">
        <f>SUM(I3:I4)</f>
        <v>330699.38650306751</v>
      </c>
      <c r="J5" s="9">
        <f>I5/I$3</f>
        <v>1.1023312883435583</v>
      </c>
      <c r="K5" s="8">
        <f>SUM(K3:K4)</f>
        <v>385815.95092024538</v>
      </c>
      <c r="L5" s="9">
        <f>K5/K$3</f>
        <v>1.1023312883435583</v>
      </c>
      <c r="N5" s="10"/>
    </row>
    <row r="6" spans="2:14">
      <c r="B6" s="4" t="s">
        <v>121</v>
      </c>
      <c r="C6" s="5">
        <f>-C3*PREMISSAS!$F$17</f>
        <v>-15804.673619631902</v>
      </c>
      <c r="D6" s="6">
        <f t="shared" si="0"/>
        <v>-0.10536449079754601</v>
      </c>
      <c r="E6" s="5">
        <f>-E3*PREMISSAS!$F$18</f>
        <v>-23497.898159509208</v>
      </c>
      <c r="F6" s="6">
        <f t="shared" si="0"/>
        <v>-0.11748949079754605</v>
      </c>
      <c r="G6" s="5">
        <f>-G3*PREMISSAS!$F$19</f>
        <v>-31191.122699386509</v>
      </c>
      <c r="H6" s="6">
        <f>G6/G$3</f>
        <v>-0.12476449079754603</v>
      </c>
      <c r="I6" s="5">
        <f>-I3*PREMISSAS!$F$20</f>
        <v>-29830.601226993858</v>
      </c>
      <c r="J6" s="6">
        <f>I6/I$3</f>
        <v>-9.9435337423312856E-2</v>
      </c>
      <c r="K6" s="5">
        <f>-K3*PREMISSAS!$F$21</f>
        <v>-40052.368098159503</v>
      </c>
      <c r="L6" s="6">
        <f>K6/K$3</f>
        <v>-0.11443533742331287</v>
      </c>
    </row>
    <row r="7" spans="2:14">
      <c r="B7" s="7" t="s">
        <v>15</v>
      </c>
      <c r="C7" s="8">
        <f>SUM(C5:C6)</f>
        <v>149545.01963190184</v>
      </c>
      <c r="D7" s="9">
        <f t="shared" si="0"/>
        <v>0.99696679754601225</v>
      </c>
      <c r="E7" s="8">
        <f>SUM(E5:E6)</f>
        <v>196968.35950920245</v>
      </c>
      <c r="F7" s="9">
        <f t="shared" si="0"/>
        <v>0.9848417975460122</v>
      </c>
      <c r="G7" s="8">
        <f>SUM(G5:G6)</f>
        <v>244391.69938650308</v>
      </c>
      <c r="H7" s="9">
        <f>G7/G$3</f>
        <v>0.97756679754601228</v>
      </c>
      <c r="I7" s="8">
        <f>SUM(I5:I6)</f>
        <v>300868.78527607367</v>
      </c>
      <c r="J7" s="9">
        <f>I7/I$3</f>
        <v>1.0028959509202455</v>
      </c>
      <c r="K7" s="8">
        <f>SUM(K5:K6)</f>
        <v>345763.58282208588</v>
      </c>
      <c r="L7" s="9">
        <f>K7/K$3</f>
        <v>0.9878959509202454</v>
      </c>
    </row>
    <row r="8" spans="2:14" ht="5.25" customHeight="1">
      <c r="B8" s="17" t="s">
        <v>19</v>
      </c>
      <c r="C8" s="18"/>
      <c r="D8" s="19"/>
      <c r="E8" s="18"/>
      <c r="F8" s="19"/>
      <c r="G8" s="18"/>
      <c r="H8" s="19"/>
      <c r="I8" s="18"/>
      <c r="J8" s="19"/>
      <c r="K8" s="18"/>
      <c r="L8" s="19"/>
    </row>
    <row r="9" spans="2:14">
      <c r="B9" s="11" t="s">
        <v>18</v>
      </c>
      <c r="C9" s="12">
        <f>-(C3*PREMISSAS!$I$12+C3*PREMISSAS!$I$13)</f>
        <v>-53100</v>
      </c>
      <c r="D9" s="13">
        <f t="shared" si="0"/>
        <v>-0.35399999999999998</v>
      </c>
      <c r="E9" s="12">
        <f>-(E3*PREMISSAS!$I$12+E3*PREMISSAS!$I$13)</f>
        <v>-70800</v>
      </c>
      <c r="F9" s="13">
        <f t="shared" si="0"/>
        <v>-0.35399999999999998</v>
      </c>
      <c r="G9" s="12">
        <f>-(G3*PREMISSAS!$I$12+G3*PREMISSAS!$I$13)</f>
        <v>-88500</v>
      </c>
      <c r="H9" s="13">
        <f>G9/G$3</f>
        <v>-0.35399999999999998</v>
      </c>
      <c r="I9" s="12">
        <f>-(I3*PREMISSAS!$I$12+I3*PREMISSAS!$I$13)</f>
        <v>-106200</v>
      </c>
      <c r="J9" s="13">
        <f>I9/I$3</f>
        <v>-0.35399999999999998</v>
      </c>
      <c r="K9" s="12">
        <f>-(K3*PREMISSAS!$I$12+K3*PREMISSAS!$I$13)</f>
        <v>-123899.99999999999</v>
      </c>
      <c r="L9" s="13">
        <f>K9/K$3</f>
        <v>-0.35399999999999998</v>
      </c>
    </row>
    <row r="10" spans="2:14" ht="6" customHeight="1">
      <c r="B10" s="17" t="s">
        <v>19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</row>
    <row r="11" spans="2:14">
      <c r="B11" s="7" t="s">
        <v>19</v>
      </c>
      <c r="C11" s="8">
        <f>C7+C9</f>
        <v>96445.019631901843</v>
      </c>
      <c r="D11" s="9">
        <f t="shared" ref="D11:D35" si="1">C11/C$3</f>
        <v>0.64296679754601227</v>
      </c>
      <c r="E11" s="8">
        <f>E7+E9</f>
        <v>126168.35950920245</v>
      </c>
      <c r="F11" s="9">
        <f t="shared" ref="F11:F35" si="2">E11/E$3</f>
        <v>0.63084179754601222</v>
      </c>
      <c r="G11" s="8">
        <f>G7+G9</f>
        <v>155891.69938650308</v>
      </c>
      <c r="H11" s="9">
        <f t="shared" ref="H11:H20" si="3">G11/G$3</f>
        <v>0.6235667975460123</v>
      </c>
      <c r="I11" s="8">
        <f>I7+I9</f>
        <v>194668.78527607367</v>
      </c>
      <c r="J11" s="9">
        <f t="shared" ref="J11:J20" si="4">I11/I$3</f>
        <v>0.64889595092024555</v>
      </c>
      <c r="K11" s="8">
        <f>K7+K9</f>
        <v>221863.58282208588</v>
      </c>
      <c r="L11" s="9">
        <f t="shared" ref="L11:L20" si="5">K11/K$3</f>
        <v>0.63389595092024542</v>
      </c>
    </row>
    <row r="12" spans="2:14" outlineLevel="1">
      <c r="B12" s="4" t="s">
        <v>89</v>
      </c>
      <c r="C12" s="5">
        <f>-((PREMISSAS!L13*PREMISSAS!M13)+(PREMISSAS!L14*PREMISSAS!M14))</f>
        <v>-20180</v>
      </c>
      <c r="D12" s="6">
        <f t="shared" si="1"/>
        <v>-0.13453333333333334</v>
      </c>
      <c r="E12" s="5">
        <f>-((PREMISSAS!L17*PREMISSAS!M17)+(PREMISSAS!L18*PREMISSAS!M18))</f>
        <v>-23216</v>
      </c>
      <c r="F12" s="6">
        <f t="shared" si="2"/>
        <v>-0.11608</v>
      </c>
      <c r="G12" s="5">
        <f>-((PREMISSAS!L21*PREMISSAS!M21)+(PREMISSAS!L22*PREMISSAS!M22))</f>
        <v>-28216</v>
      </c>
      <c r="H12" s="6">
        <f>G12/G$3</f>
        <v>-0.11286400000000001</v>
      </c>
      <c r="I12" s="5">
        <f>-((PREMISSAS!L25*PREMISSAS!M25)+(PREMISSAS!L26*PREMISSAS!M26))</f>
        <v>-31252</v>
      </c>
      <c r="J12" s="6">
        <f>I12/I$3</f>
        <v>-0.10417333333333334</v>
      </c>
      <c r="K12" s="5">
        <f>-((PREMISSAS!L29*PREMISSAS!M29)+(PREMISSAS!L30*PREMISSAS!M30))</f>
        <v>-34288</v>
      </c>
      <c r="L12" s="6">
        <f>K12/K$3</f>
        <v>-9.7965714285714281E-2</v>
      </c>
    </row>
    <row r="13" spans="2:14" outlineLevel="1">
      <c r="B13" s="4" t="s">
        <v>90</v>
      </c>
      <c r="C13" s="5">
        <f>-C3/PREMISSAS!C12*PREMISSAS!C27*PREMISSAS!M15</f>
        <v>-15349.693251533745</v>
      </c>
      <c r="D13" s="6">
        <f t="shared" si="1"/>
        <v>-0.1023312883435583</v>
      </c>
      <c r="E13" s="5">
        <f>-E3/PREMISSAS!C12*PREMISSAS!C27*PREMISSAS!M15</f>
        <v>-20466.257668711656</v>
      </c>
      <c r="F13" s="20">
        <f t="shared" si="2"/>
        <v>-0.10233128834355829</v>
      </c>
      <c r="G13" s="5">
        <f>-G3/PREMISSAS!$C$12*PREMISSAS!$C$27*PREMISSAS!$M$15</f>
        <v>-25582.822085889573</v>
      </c>
      <c r="H13" s="6">
        <f>G13/G$3</f>
        <v>-0.10233128834355829</v>
      </c>
      <c r="I13" s="5">
        <f>-I3/PREMISSAS!$C$12*PREMISSAS!$C$27*PREMISSAS!$M$15</f>
        <v>-30699.38650306749</v>
      </c>
      <c r="J13" s="6">
        <f>I13/I$3</f>
        <v>-0.1023312883435583</v>
      </c>
      <c r="K13" s="5">
        <f>-K3/PREMISSAS!$C$12*PREMISSAS!$C$27*PREMISSAS!$M$15</f>
        <v>-35815.950920245399</v>
      </c>
      <c r="L13" s="6">
        <f>K13/K$3</f>
        <v>-0.10233128834355829</v>
      </c>
    </row>
    <row r="14" spans="2:14">
      <c r="B14" s="11" t="s">
        <v>20</v>
      </c>
      <c r="C14" s="12">
        <f>SUM(C12:C13)</f>
        <v>-35529.693251533747</v>
      </c>
      <c r="D14" s="13">
        <f t="shared" si="1"/>
        <v>-0.23686462167689165</v>
      </c>
      <c r="E14" s="12">
        <f>SUM(E12:E13)</f>
        <v>-43682.257668711653</v>
      </c>
      <c r="F14" s="13">
        <f t="shared" si="2"/>
        <v>-0.21841128834355827</v>
      </c>
      <c r="G14" s="12">
        <f>SUM(G12:G13)</f>
        <v>-53798.822085889573</v>
      </c>
      <c r="H14" s="13">
        <f t="shared" si="3"/>
        <v>-0.21519528834355831</v>
      </c>
      <c r="I14" s="12">
        <f>SUM(I12:I13)</f>
        <v>-61951.386503067493</v>
      </c>
      <c r="J14" s="13">
        <f t="shared" si="4"/>
        <v>-0.20650462167689165</v>
      </c>
      <c r="K14" s="12">
        <f>SUM(K12:K13)</f>
        <v>-70103.950920245406</v>
      </c>
      <c r="L14" s="13">
        <f t="shared" si="5"/>
        <v>-0.20029700262927258</v>
      </c>
    </row>
    <row r="15" spans="2:14">
      <c r="B15" s="11" t="s">
        <v>21</v>
      </c>
      <c r="C15" s="12">
        <f>-C3*PREMISSAS!$I$18</f>
        <v>-7500</v>
      </c>
      <c r="D15" s="13">
        <f t="shared" si="1"/>
        <v>-0.05</v>
      </c>
      <c r="E15" s="12">
        <f>-E3*PREMISSAS!$I$18</f>
        <v>-10000</v>
      </c>
      <c r="F15" s="13">
        <f t="shared" si="2"/>
        <v>-0.05</v>
      </c>
      <c r="G15" s="12">
        <f>-G3*PREMISSAS!$I$18</f>
        <v>-12500</v>
      </c>
      <c r="H15" s="13">
        <f t="shared" si="3"/>
        <v>-0.05</v>
      </c>
      <c r="I15" s="12">
        <f>-I3*PREMISSAS!$I$18</f>
        <v>-15000</v>
      </c>
      <c r="J15" s="13">
        <f t="shared" si="4"/>
        <v>-0.05</v>
      </c>
      <c r="K15" s="12">
        <f>-K3*PREMISSAS!$I$18</f>
        <v>-17500</v>
      </c>
      <c r="L15" s="13">
        <f t="shared" si="5"/>
        <v>-0.05</v>
      </c>
    </row>
    <row r="16" spans="2:14">
      <c r="B16" s="11" t="s">
        <v>22</v>
      </c>
      <c r="C16" s="12">
        <f>-PREMISSAS!$I$23</f>
        <v>-2000</v>
      </c>
      <c r="D16" s="13">
        <f t="shared" si="1"/>
        <v>-1.3333333333333334E-2</v>
      </c>
      <c r="E16" s="12">
        <f>-PREMISSAS!$I$23</f>
        <v>-2000</v>
      </c>
      <c r="F16" s="13">
        <f t="shared" si="2"/>
        <v>-0.01</v>
      </c>
      <c r="G16" s="12">
        <f>-PREMISSAS!$I$23</f>
        <v>-2000</v>
      </c>
      <c r="H16" s="13">
        <f>G16/G$3</f>
        <v>-8.0000000000000002E-3</v>
      </c>
      <c r="I16" s="12">
        <f>-PREMISSAS!$I$23</f>
        <v>-2000</v>
      </c>
      <c r="J16" s="13">
        <f t="shared" si="4"/>
        <v>-6.6666666666666671E-3</v>
      </c>
      <c r="K16" s="12">
        <f>-PREMISSAS!$I$23</f>
        <v>-2000</v>
      </c>
      <c r="L16" s="13">
        <f t="shared" si="5"/>
        <v>-5.7142857142857143E-3</v>
      </c>
    </row>
    <row r="17" spans="2:13" hidden="1" outlineLevel="1">
      <c r="B17" s="4" t="s">
        <v>23</v>
      </c>
      <c r="C17" s="5">
        <f>-C5*PREMISSAS!$C$23*PREMISSAS!$I$28</f>
        <v>-6411.4343558282217</v>
      </c>
      <c r="D17" s="6">
        <f t="shared" si="1"/>
        <v>-4.2742895705521478E-2</v>
      </c>
      <c r="E17" s="5">
        <f>-E5*PREMISSAS!$C$23*PREMISSAS!$I$28</f>
        <v>-8548.5791411042937</v>
      </c>
      <c r="F17" s="6">
        <f t="shared" si="2"/>
        <v>-4.2742895705521471E-2</v>
      </c>
      <c r="G17" s="5">
        <f>-G5*PREMISSAS!$C$23*PREMISSAS!$I$28</f>
        <v>-10685.723926380369</v>
      </c>
      <c r="H17" s="6">
        <f t="shared" si="3"/>
        <v>-4.2742895705521478E-2</v>
      </c>
      <c r="I17" s="5">
        <f>-I5*PREMISSAS!$C$23*PREMISSAS!$I$28</f>
        <v>-12822.868711656443</v>
      </c>
      <c r="J17" s="6">
        <f t="shared" si="4"/>
        <v>-4.2742895705521478E-2</v>
      </c>
      <c r="K17" s="5">
        <f>-K5*PREMISSAS!$C$23*PREMISSAS!$I$28</f>
        <v>-14960.013496932514</v>
      </c>
      <c r="L17" s="6">
        <f t="shared" si="5"/>
        <v>-4.2742895705521471E-2</v>
      </c>
    </row>
    <row r="18" spans="2:13" hidden="1" outlineLevel="1">
      <c r="B18" s="4" t="s">
        <v>24</v>
      </c>
      <c r="C18" s="5">
        <f>(-C5*(PREMISSAS!$C$20+PREMISSAS!$C$21)*PREMISSAS!$I$30)+(-C5*PREMISSAS!$C$22*PREMISSAS!$I$29)</f>
        <v>-1661.7644171779143</v>
      </c>
      <c r="D18" s="6">
        <f t="shared" si="1"/>
        <v>-1.1078429447852763E-2</v>
      </c>
      <c r="E18" s="5">
        <f>(-E5*(PREMISSAS!$C$20+PREMISSAS!$C$21)*PREMISSAS!$I$30)+(-E5*PREMISSAS!$C$22*PREMISSAS!$I$29)</f>
        <v>-2215.6858895705523</v>
      </c>
      <c r="F18" s="20">
        <f t="shared" si="2"/>
        <v>-1.1078429447852761E-2</v>
      </c>
      <c r="G18" s="5">
        <f>(-G5*(PREMISSAS!$C$20+PREMISSAS!$C$21)*PREMISSAS!$I$30)+(-G5*PREMISSAS!$C$22*PREMISSAS!$I$29)</f>
        <v>-2769.6073619631907</v>
      </c>
      <c r="H18" s="6">
        <f t="shared" si="3"/>
        <v>-1.1078429447852763E-2</v>
      </c>
      <c r="I18" s="5">
        <f>(-I5*(PREMISSAS!$C$20+PREMISSAS!$C$21)*PREMISSAS!$I$30)+(-I5*PREMISSAS!$C$22*PREMISSAS!$I$29)</f>
        <v>-3323.5288343558286</v>
      </c>
      <c r="J18" s="6">
        <f t="shared" si="4"/>
        <v>-1.1078429447852763E-2</v>
      </c>
      <c r="K18" s="5">
        <f>(-K5*(PREMISSAS!$C$20+PREMISSAS!$C$21)*PREMISSAS!$I$30)+(-K5*PREMISSAS!$C$22*PREMISSAS!$I$29)</f>
        <v>-3877.4503067484661</v>
      </c>
      <c r="L18" s="6">
        <f t="shared" si="5"/>
        <v>-1.1078429447852761E-2</v>
      </c>
      <c r="M18" s="1" t="s">
        <v>120</v>
      </c>
    </row>
    <row r="19" spans="2:13" collapsed="1">
      <c r="B19" s="11" t="s">
        <v>25</v>
      </c>
      <c r="C19" s="12">
        <f>SUM(C17:C18)</f>
        <v>-8073.1987730061355</v>
      </c>
      <c r="D19" s="13">
        <f t="shared" si="1"/>
        <v>-5.382132515337424E-2</v>
      </c>
      <c r="E19" s="12">
        <f>SUM(E17:E18)</f>
        <v>-10764.265030674846</v>
      </c>
      <c r="F19" s="13">
        <f t="shared" si="2"/>
        <v>-5.3821325153374226E-2</v>
      </c>
      <c r="G19" s="12">
        <f>SUM(G17:G18)</f>
        <v>-13455.331288343561</v>
      </c>
      <c r="H19" s="13">
        <f t="shared" si="3"/>
        <v>-5.3821325153374247E-2</v>
      </c>
      <c r="I19" s="12">
        <f>SUM(I17:I18)</f>
        <v>-16146.397546012271</v>
      </c>
      <c r="J19" s="13">
        <f t="shared" si="4"/>
        <v>-5.382132515337424E-2</v>
      </c>
      <c r="K19" s="12">
        <f>SUM(K17:K18)</f>
        <v>-18837.463803680981</v>
      </c>
      <c r="L19" s="13">
        <f t="shared" si="5"/>
        <v>-5.3821325153374233E-2</v>
      </c>
    </row>
    <row r="20" spans="2:13" hidden="1" outlineLevel="1">
      <c r="B20" s="4" t="s">
        <v>26</v>
      </c>
      <c r="C20" s="21">
        <f>-PREMISSAS!$P$12</f>
        <v>-500</v>
      </c>
      <c r="D20" s="6">
        <f t="shared" si="1"/>
        <v>-3.3333333333333335E-3</v>
      </c>
      <c r="E20" s="21">
        <f>-PREMISSAS!$P$12</f>
        <v>-500</v>
      </c>
      <c r="F20" s="6">
        <f t="shared" si="2"/>
        <v>-2.5000000000000001E-3</v>
      </c>
      <c r="G20" s="21">
        <f>-PREMISSAS!$P$12</f>
        <v>-500</v>
      </c>
      <c r="H20" s="6">
        <f t="shared" si="3"/>
        <v>-2E-3</v>
      </c>
      <c r="I20" s="21">
        <f>-PREMISSAS!$P$12</f>
        <v>-500</v>
      </c>
      <c r="J20" s="6">
        <f t="shared" si="4"/>
        <v>-1.6666666666666668E-3</v>
      </c>
      <c r="K20" s="21">
        <f>-PREMISSAS!$P$12</f>
        <v>-500</v>
      </c>
      <c r="L20" s="6">
        <f t="shared" si="5"/>
        <v>-1.4285714285714286E-3</v>
      </c>
      <c r="M20" s="1" t="s">
        <v>122</v>
      </c>
    </row>
    <row r="21" spans="2:13" hidden="1" outlineLevel="1">
      <c r="B21" s="4" t="s">
        <v>27</v>
      </c>
      <c r="C21" s="21">
        <f>-PREMISSAS!$P$13</f>
        <v>-600</v>
      </c>
      <c r="D21" s="6">
        <f t="shared" si="1"/>
        <v>-4.0000000000000001E-3</v>
      </c>
      <c r="E21" s="21">
        <f>-PREMISSAS!$P$13</f>
        <v>-600</v>
      </c>
      <c r="F21" s="6">
        <f t="shared" si="2"/>
        <v>-3.0000000000000001E-3</v>
      </c>
      <c r="G21" s="21">
        <f>-PREMISSAS!$P$13</f>
        <v>-600</v>
      </c>
      <c r="H21" s="6">
        <f t="shared" ref="H21:H35" si="6">G21/G$3</f>
        <v>-2.3999999999999998E-3</v>
      </c>
      <c r="I21" s="21">
        <f>-PREMISSAS!$P$13</f>
        <v>-600</v>
      </c>
      <c r="J21" s="6">
        <f t="shared" ref="J21:J35" si="7">I21/I$3</f>
        <v>-2E-3</v>
      </c>
      <c r="K21" s="21">
        <f>-PREMISSAS!$P$13</f>
        <v>-600</v>
      </c>
      <c r="L21" s="6">
        <f t="shared" ref="L21:L35" si="8">K21/K$3</f>
        <v>-1.7142857142857142E-3</v>
      </c>
      <c r="M21" s="1" t="s">
        <v>123</v>
      </c>
    </row>
    <row r="22" spans="2:13" hidden="1" outlineLevel="1">
      <c r="B22" s="4" t="s">
        <v>28</v>
      </c>
      <c r="C22" s="5">
        <f>-PREMISSAS!$P$14</f>
        <v>-1250</v>
      </c>
      <c r="D22" s="6">
        <f t="shared" si="1"/>
        <v>-8.3333333333333332E-3</v>
      </c>
      <c r="E22" s="5">
        <f>-PREMISSAS!$P$14</f>
        <v>-1250</v>
      </c>
      <c r="F22" s="6">
        <f t="shared" si="2"/>
        <v>-6.2500000000000003E-3</v>
      </c>
      <c r="G22" s="5">
        <f>-PREMISSAS!$P$14</f>
        <v>-1250</v>
      </c>
      <c r="H22" s="6">
        <f t="shared" si="6"/>
        <v>-5.0000000000000001E-3</v>
      </c>
      <c r="I22" s="5">
        <f>-PREMISSAS!$P$14</f>
        <v>-1250</v>
      </c>
      <c r="J22" s="6">
        <f t="shared" si="7"/>
        <v>-4.1666666666666666E-3</v>
      </c>
      <c r="K22" s="5">
        <f>-PREMISSAS!$P$14</f>
        <v>-1250</v>
      </c>
      <c r="L22" s="6">
        <f t="shared" si="8"/>
        <v>-3.5714285714285713E-3</v>
      </c>
    </row>
    <row r="23" spans="2:13" hidden="1" outlineLevel="1">
      <c r="B23" s="4" t="s">
        <v>29</v>
      </c>
      <c r="C23" s="5">
        <f>-PREMISSAS!$P$15</f>
        <v>-4000</v>
      </c>
      <c r="D23" s="6">
        <f t="shared" si="1"/>
        <v>-2.6666666666666668E-2</v>
      </c>
      <c r="E23" s="5">
        <f>-PREMISSAS!$P$15</f>
        <v>-4000</v>
      </c>
      <c r="F23" s="6">
        <f t="shared" si="2"/>
        <v>-0.02</v>
      </c>
      <c r="G23" s="5">
        <f>-PREMISSAS!$P$15</f>
        <v>-4000</v>
      </c>
      <c r="H23" s="6">
        <f t="shared" si="6"/>
        <v>-1.6E-2</v>
      </c>
      <c r="I23" s="5">
        <f>-PREMISSAS!$P$15</f>
        <v>-4000</v>
      </c>
      <c r="J23" s="6">
        <f t="shared" si="7"/>
        <v>-1.3333333333333334E-2</v>
      </c>
      <c r="K23" s="5">
        <f>-PREMISSAS!$P$15</f>
        <v>-4000</v>
      </c>
      <c r="L23" s="6">
        <f t="shared" si="8"/>
        <v>-1.1428571428571429E-2</v>
      </c>
    </row>
    <row r="24" spans="2:13" hidden="1" outlineLevel="1">
      <c r="B24" s="4" t="s">
        <v>30</v>
      </c>
      <c r="C24" s="5">
        <f>-PREMISSAS!$P$16</f>
        <v>-2800</v>
      </c>
      <c r="D24" s="6">
        <f t="shared" si="1"/>
        <v>-1.8666666666666668E-2</v>
      </c>
      <c r="E24" s="5">
        <f>-PREMISSAS!$P$16</f>
        <v>-2800</v>
      </c>
      <c r="F24" s="6">
        <f t="shared" si="2"/>
        <v>-1.4E-2</v>
      </c>
      <c r="G24" s="5">
        <f>-PREMISSAS!$P$16</f>
        <v>-2800</v>
      </c>
      <c r="H24" s="6">
        <f t="shared" si="6"/>
        <v>-1.12E-2</v>
      </c>
      <c r="I24" s="5">
        <f>-PREMISSAS!$P$16</f>
        <v>-2800</v>
      </c>
      <c r="J24" s="6">
        <f t="shared" si="7"/>
        <v>-9.3333333333333341E-3</v>
      </c>
      <c r="K24" s="5">
        <f>-PREMISSAS!$P$16</f>
        <v>-2800</v>
      </c>
      <c r="L24" s="6">
        <f t="shared" si="8"/>
        <v>-8.0000000000000002E-3</v>
      </c>
    </row>
    <row r="25" spans="2:13" hidden="1" outlineLevel="1">
      <c r="B25" s="4" t="s">
        <v>31</v>
      </c>
      <c r="C25" s="5">
        <f>-C3*PREMISSAS!$P$17</f>
        <v>-3000</v>
      </c>
      <c r="D25" s="6">
        <f t="shared" si="1"/>
        <v>-0.02</v>
      </c>
      <c r="E25" s="5">
        <f>-E3*PREMISSAS!$P$17</f>
        <v>-4000</v>
      </c>
      <c r="F25" s="6">
        <f t="shared" si="2"/>
        <v>-0.02</v>
      </c>
      <c r="G25" s="5">
        <f>-G3*PREMISSAS!$P$17</f>
        <v>-5000</v>
      </c>
      <c r="H25" s="6">
        <f t="shared" si="6"/>
        <v>-0.02</v>
      </c>
      <c r="I25" s="5">
        <f>-I3*PREMISSAS!$P$17</f>
        <v>-6000</v>
      </c>
      <c r="J25" s="6">
        <f t="shared" si="7"/>
        <v>-0.02</v>
      </c>
      <c r="K25" s="5">
        <f>-K3*PREMISSAS!$P$17</f>
        <v>-7000</v>
      </c>
      <c r="L25" s="6">
        <f t="shared" si="8"/>
        <v>-0.02</v>
      </c>
    </row>
    <row r="26" spans="2:13" collapsed="1">
      <c r="B26" s="11" t="s">
        <v>32</v>
      </c>
      <c r="C26" s="12">
        <f>SUM(C20:C25)</f>
        <v>-12150</v>
      </c>
      <c r="D26" s="13">
        <f t="shared" si="1"/>
        <v>-8.1000000000000003E-2</v>
      </c>
      <c r="E26" s="12">
        <f>SUM(E20:E25)</f>
        <v>-13150</v>
      </c>
      <c r="F26" s="13">
        <f t="shared" si="2"/>
        <v>-6.5750000000000003E-2</v>
      </c>
      <c r="G26" s="12">
        <f>SUM(G20:G25)</f>
        <v>-14150</v>
      </c>
      <c r="H26" s="13">
        <f t="shared" si="6"/>
        <v>-5.6599999999999998E-2</v>
      </c>
      <c r="I26" s="12">
        <f>SUM(I20:I25)</f>
        <v>-15150</v>
      </c>
      <c r="J26" s="13">
        <f t="shared" si="7"/>
        <v>-5.0500000000000003E-2</v>
      </c>
      <c r="K26" s="12">
        <f>SUM(K20:K25)</f>
        <v>-16150</v>
      </c>
      <c r="L26" s="13">
        <f t="shared" si="8"/>
        <v>-4.6142857142857145E-2</v>
      </c>
    </row>
    <row r="27" spans="2:13" hidden="1" outlineLevel="1">
      <c r="B27" s="4" t="s">
        <v>33</v>
      </c>
      <c r="C27" s="5">
        <f>-C3*PREMISSAS!$P$22</f>
        <v>-9000</v>
      </c>
      <c r="D27" s="6">
        <f t="shared" si="1"/>
        <v>-0.06</v>
      </c>
      <c r="E27" s="5">
        <f>E3*-6%</f>
        <v>-12000</v>
      </c>
      <c r="F27" s="6">
        <f t="shared" si="2"/>
        <v>-0.06</v>
      </c>
      <c r="G27" s="5">
        <f>G3*-6%</f>
        <v>-15000</v>
      </c>
      <c r="H27" s="6">
        <f t="shared" si="6"/>
        <v>-0.06</v>
      </c>
      <c r="I27" s="5">
        <f>I3*-6%</f>
        <v>-18000</v>
      </c>
      <c r="J27" s="6">
        <f t="shared" si="7"/>
        <v>-0.06</v>
      </c>
      <c r="K27" s="5">
        <f>K3*-6%</f>
        <v>-21000</v>
      </c>
      <c r="L27" s="6">
        <f t="shared" si="8"/>
        <v>-0.06</v>
      </c>
    </row>
    <row r="28" spans="2:13" hidden="1" outlineLevel="1">
      <c r="B28" s="4" t="s">
        <v>34</v>
      </c>
      <c r="C28" s="5">
        <f>-C4*PREMISSAS!$P$23</f>
        <v>-552.58895705521479</v>
      </c>
      <c r="D28" s="6">
        <f t="shared" si="1"/>
        <v>-3.6839263803680987E-3</v>
      </c>
      <c r="E28" s="5">
        <f>-E4*PREMISSAS!$P$23</f>
        <v>-736.78527607361957</v>
      </c>
      <c r="F28" s="6">
        <f t="shared" si="2"/>
        <v>-3.6839263803680978E-3</v>
      </c>
      <c r="G28" s="5">
        <f>-G4*PREMISSAS!$P$23</f>
        <v>-920.98159509202458</v>
      </c>
      <c r="H28" s="6">
        <f t="shared" si="6"/>
        <v>-3.6839263803680983E-3</v>
      </c>
      <c r="I28" s="5">
        <f>-I4*PREMISSAS!$P$23</f>
        <v>-1105.1779141104296</v>
      </c>
      <c r="J28" s="6">
        <f t="shared" si="7"/>
        <v>-3.6839263803680987E-3</v>
      </c>
      <c r="K28" s="5">
        <f>-K4*PREMISSAS!$P$23</f>
        <v>-1289.3742331288342</v>
      </c>
      <c r="L28" s="6">
        <f t="shared" si="8"/>
        <v>-3.6839263803680978E-3</v>
      </c>
    </row>
    <row r="29" spans="2:13" hidden="1" outlineLevel="1">
      <c r="B29" s="4" t="s">
        <v>116</v>
      </c>
      <c r="C29" s="5">
        <f>(-C3/PREMISSAS!$C$12*PREMISSAS!$C$22*PREMISSAS!$P$24)+(-C5*PREMISSAS!$C$23*PREMISSAS!$P$25)</f>
        <v>-1266.6920245398774</v>
      </c>
      <c r="D29" s="6">
        <f t="shared" si="1"/>
        <v>-8.4446134969325161E-3</v>
      </c>
      <c r="E29" s="5">
        <f>(-E3/PREMISSAS!$C$12*PREMISSAS!$C$22*PREMISSAS!$P$24)+(-E5*PREMISSAS!$C$23*PREMISSAS!$P$25)</f>
        <v>-1688.9226993865032</v>
      </c>
      <c r="F29" s="6">
        <f t="shared" si="2"/>
        <v>-8.4446134969325161E-3</v>
      </c>
      <c r="G29" s="5">
        <f>(-G3/PREMISSAS!$C$12*PREMISSAS!$C$22*PREMISSAS!$P$24)+(-G5*PREMISSAS!$C$23*PREMISSAS!$P$25)</f>
        <v>-2111.1533742331294</v>
      </c>
      <c r="H29" s="6">
        <f t="shared" si="6"/>
        <v>-8.4446134969325178E-3</v>
      </c>
      <c r="I29" s="5">
        <f>(-I3/PREMISSAS!$C$12*PREMISSAS!$C$22*PREMISSAS!$P$24)+(-I5*PREMISSAS!$C$23*PREMISSAS!$P$25)</f>
        <v>-2533.3840490797547</v>
      </c>
      <c r="J29" s="6">
        <f t="shared" si="7"/>
        <v>-8.4446134969325161E-3</v>
      </c>
      <c r="K29" s="5">
        <f>-K3/PREMISSAS!$C$12*PREMISSAS!$C$22*PREMISSAS!$P$24</f>
        <v>-2319.0184049079753</v>
      </c>
      <c r="L29" s="6">
        <f t="shared" si="8"/>
        <v>-6.6257668711656439E-3</v>
      </c>
    </row>
    <row r="30" spans="2:13" hidden="1" outlineLevel="1">
      <c r="B30" s="4" t="s">
        <v>35</v>
      </c>
      <c r="C30" s="5">
        <f>-PREMISSAS!$P$26</f>
        <v>-1800</v>
      </c>
      <c r="D30" s="6">
        <f t="shared" si="1"/>
        <v>-1.2E-2</v>
      </c>
      <c r="E30" s="5">
        <f>-PREMISSAS!$P$26</f>
        <v>-1800</v>
      </c>
      <c r="F30" s="6">
        <f t="shared" si="2"/>
        <v>-8.9999999999999993E-3</v>
      </c>
      <c r="G30" s="5">
        <f>-PREMISSAS!$P$26</f>
        <v>-1800</v>
      </c>
      <c r="H30" s="6">
        <f t="shared" si="6"/>
        <v>-7.1999999999999998E-3</v>
      </c>
      <c r="I30" s="5">
        <f>-PREMISSAS!$P$26</f>
        <v>-1800</v>
      </c>
      <c r="J30" s="6">
        <f t="shared" si="7"/>
        <v>-6.0000000000000001E-3</v>
      </c>
      <c r="K30" s="5">
        <f>-PREMISSAS!$P$26</f>
        <v>-1800</v>
      </c>
      <c r="L30" s="6">
        <f t="shared" si="8"/>
        <v>-5.1428571428571426E-3</v>
      </c>
    </row>
    <row r="31" spans="2:13" collapsed="1">
      <c r="B31" s="11" t="s">
        <v>36</v>
      </c>
      <c r="C31" s="12">
        <f>SUM(C27:C30)</f>
        <v>-12619.280981595093</v>
      </c>
      <c r="D31" s="13">
        <f t="shared" si="1"/>
        <v>-8.4128539877300623E-2</v>
      </c>
      <c r="E31" s="12">
        <f>SUM(E27:E30)</f>
        <v>-16225.707975460124</v>
      </c>
      <c r="F31" s="13">
        <f t="shared" si="2"/>
        <v>-8.1128539877300621E-2</v>
      </c>
      <c r="G31" s="12">
        <f>SUM(G27:G30)</f>
        <v>-19832.134969325154</v>
      </c>
      <c r="H31" s="13">
        <f t="shared" si="6"/>
        <v>-7.9328539877300611E-2</v>
      </c>
      <c r="I31" s="12">
        <f>SUM(I27:I30)</f>
        <v>-23438.561963190186</v>
      </c>
      <c r="J31" s="13">
        <f t="shared" si="7"/>
        <v>-7.8128539877300618E-2</v>
      </c>
      <c r="K31" s="12">
        <f>SUM(K27:K30)</f>
        <v>-26408.39263803681</v>
      </c>
      <c r="L31" s="13">
        <f t="shared" si="8"/>
        <v>-7.5452550394390888E-2</v>
      </c>
    </row>
    <row r="32" spans="2:13" hidden="1" outlineLevel="1">
      <c r="B32" s="22" t="s">
        <v>37</v>
      </c>
      <c r="C32" s="15"/>
      <c r="D32" s="6">
        <f t="shared" si="1"/>
        <v>0</v>
      </c>
      <c r="E32" s="15"/>
      <c r="F32" s="6">
        <f t="shared" si="2"/>
        <v>0</v>
      </c>
      <c r="G32" s="15"/>
      <c r="H32" s="6">
        <f t="shared" si="6"/>
        <v>0</v>
      </c>
      <c r="I32" s="15"/>
      <c r="J32" s="6">
        <f t="shared" si="7"/>
        <v>0</v>
      </c>
      <c r="K32" s="15"/>
      <c r="L32" s="6">
        <f t="shared" si="8"/>
        <v>0</v>
      </c>
    </row>
    <row r="33" spans="2:12" collapsed="1">
      <c r="B33" s="11" t="s">
        <v>38</v>
      </c>
      <c r="C33" s="12">
        <f>C32</f>
        <v>0</v>
      </c>
      <c r="D33" s="13">
        <f t="shared" si="1"/>
        <v>0</v>
      </c>
      <c r="E33" s="12">
        <f>E32</f>
        <v>0</v>
      </c>
      <c r="F33" s="13">
        <f t="shared" si="2"/>
        <v>0</v>
      </c>
      <c r="G33" s="12">
        <f>G32</f>
        <v>0</v>
      </c>
      <c r="H33" s="13">
        <f t="shared" si="6"/>
        <v>0</v>
      </c>
      <c r="I33" s="12">
        <f>I32</f>
        <v>0</v>
      </c>
      <c r="J33" s="13">
        <f t="shared" si="7"/>
        <v>0</v>
      </c>
      <c r="K33" s="12">
        <f>K32</f>
        <v>0</v>
      </c>
      <c r="L33" s="13">
        <f t="shared" si="8"/>
        <v>0</v>
      </c>
    </row>
    <row r="34" spans="2:12" hidden="1" outlineLevel="1">
      <c r="B34" s="22" t="s">
        <v>111</v>
      </c>
      <c r="C34" s="15">
        <v>-2000</v>
      </c>
      <c r="D34" s="6">
        <f t="shared" si="1"/>
        <v>-1.3333333333333334E-2</v>
      </c>
      <c r="E34" s="15">
        <v>-2000</v>
      </c>
      <c r="F34" s="6">
        <f t="shared" si="2"/>
        <v>-0.01</v>
      </c>
      <c r="G34" s="15">
        <v>-2000</v>
      </c>
      <c r="H34" s="6">
        <f t="shared" si="6"/>
        <v>-8.0000000000000002E-3</v>
      </c>
      <c r="I34" s="15">
        <v>-2000</v>
      </c>
      <c r="J34" s="6">
        <f t="shared" si="7"/>
        <v>-6.6666666666666671E-3</v>
      </c>
      <c r="K34" s="15">
        <v>-2000</v>
      </c>
      <c r="L34" s="6">
        <f t="shared" si="8"/>
        <v>-5.7142857142857143E-3</v>
      </c>
    </row>
    <row r="35" spans="2:12" collapsed="1">
      <c r="B35" s="11" t="s">
        <v>40</v>
      </c>
      <c r="C35" s="12">
        <f>C34</f>
        <v>-2000</v>
      </c>
      <c r="D35" s="13">
        <f t="shared" si="1"/>
        <v>-1.3333333333333334E-2</v>
      </c>
      <c r="E35" s="12">
        <f>E34</f>
        <v>-2000</v>
      </c>
      <c r="F35" s="13">
        <f t="shared" si="2"/>
        <v>-0.01</v>
      </c>
      <c r="G35" s="12">
        <f>G34</f>
        <v>-2000</v>
      </c>
      <c r="H35" s="13">
        <f t="shared" si="6"/>
        <v>-8.0000000000000002E-3</v>
      </c>
      <c r="I35" s="12">
        <f>I34</f>
        <v>-2000</v>
      </c>
      <c r="J35" s="13">
        <f t="shared" si="7"/>
        <v>-6.6666666666666671E-3</v>
      </c>
      <c r="K35" s="12">
        <f>K34</f>
        <v>-2000</v>
      </c>
      <c r="L35" s="13">
        <f t="shared" si="8"/>
        <v>-5.7142857142857143E-3</v>
      </c>
    </row>
    <row r="36" spans="2:12">
      <c r="B36" s="22"/>
      <c r="C36" s="15"/>
      <c r="D36" s="16"/>
      <c r="E36" s="15"/>
      <c r="F36" s="16"/>
      <c r="G36" s="15"/>
      <c r="H36" s="16"/>
      <c r="I36" s="15"/>
      <c r="J36" s="16"/>
      <c r="K36" s="15"/>
      <c r="L36" s="16"/>
    </row>
    <row r="37" spans="2:12">
      <c r="B37" s="7" t="s">
        <v>41</v>
      </c>
      <c r="C37" s="8">
        <f>SUM(C35,C33,C31,C26,C19,C16,C15,C14)</f>
        <v>-79872.173006134981</v>
      </c>
      <c r="D37" s="9">
        <f t="shared" ref="D37:F40" si="9">C37/C$3</f>
        <v>-0.53248115337423318</v>
      </c>
      <c r="E37" s="8">
        <f>SUM(E35,E33,E31,E26,E19,E16,E15,E14)</f>
        <v>-97822.230674846622</v>
      </c>
      <c r="F37" s="9">
        <f t="shared" si="9"/>
        <v>-0.48911115337423311</v>
      </c>
      <c r="G37" s="8">
        <f>SUM(G35,G33,G31,G26,G19,G16,G15,G14)</f>
        <v>-117736.28834355829</v>
      </c>
      <c r="H37" s="9">
        <f>G37/G$3</f>
        <v>-0.47094515337423315</v>
      </c>
      <c r="I37" s="8">
        <f>SUM(I35,I33,I31,I26,I19,I16,I15,I14)</f>
        <v>-135686.34601226996</v>
      </c>
      <c r="J37" s="9">
        <f>I37/I$3</f>
        <v>-0.45228782004089985</v>
      </c>
      <c r="K37" s="8">
        <f>SUM(K35,K33,K31,K26,K19,K16,K15,K14)</f>
        <v>-152999.80736196321</v>
      </c>
      <c r="L37" s="9">
        <f>K37/K$3</f>
        <v>-0.43714230674846632</v>
      </c>
    </row>
    <row r="38" spans="2:12" ht="6" customHeight="1">
      <c r="B38" s="23"/>
      <c r="C38" s="24"/>
      <c r="D38" s="25"/>
      <c r="E38" s="24"/>
      <c r="F38" s="25"/>
      <c r="G38" s="24"/>
      <c r="H38" s="25"/>
      <c r="I38" s="24"/>
      <c r="J38" s="25"/>
      <c r="K38" s="24"/>
      <c r="L38" s="25"/>
    </row>
    <row r="39" spans="2:12" hidden="1" outlineLevel="1">
      <c r="B39" s="28" t="s">
        <v>43</v>
      </c>
      <c r="C39" s="29">
        <f>-C3*PREMISSAS!$P$31</f>
        <v>-6000</v>
      </c>
      <c r="D39" s="6">
        <f t="shared" si="9"/>
        <v>-0.04</v>
      </c>
      <c r="E39" s="29">
        <f>-E3*PREMISSAS!$P$31</f>
        <v>-8000</v>
      </c>
      <c r="F39" s="6">
        <f t="shared" si="9"/>
        <v>-0.04</v>
      </c>
      <c r="G39" s="29">
        <f>-G3*PREMISSAS!$P$31</f>
        <v>-10000</v>
      </c>
      <c r="H39" s="6">
        <f>G39/G$3</f>
        <v>-0.04</v>
      </c>
      <c r="I39" s="29">
        <f>-I3*PREMISSAS!$P$31</f>
        <v>-12000</v>
      </c>
      <c r="J39" s="6">
        <f>I39/I$3</f>
        <v>-0.04</v>
      </c>
      <c r="K39" s="29">
        <f>-K3*PREMISSAS!$P$31</f>
        <v>-14000</v>
      </c>
      <c r="L39" s="6">
        <f>K39/K$3</f>
        <v>-0.04</v>
      </c>
    </row>
    <row r="40" spans="2:12" collapsed="1">
      <c r="B40" s="11" t="s">
        <v>44</v>
      </c>
      <c r="C40" s="12">
        <f>SUM(C39:C39)</f>
        <v>-6000</v>
      </c>
      <c r="D40" s="13">
        <f t="shared" si="9"/>
        <v>-0.04</v>
      </c>
      <c r="E40" s="12">
        <f>SUM(E39:E39)</f>
        <v>-8000</v>
      </c>
      <c r="F40" s="13">
        <f t="shared" si="9"/>
        <v>-0.04</v>
      </c>
      <c r="G40" s="12">
        <f>SUM(G39:G39)</f>
        <v>-10000</v>
      </c>
      <c r="H40" s="13">
        <f>G40/G$3</f>
        <v>-0.04</v>
      </c>
      <c r="I40" s="12">
        <f>SUM(I39:I39)</f>
        <v>-12000</v>
      </c>
      <c r="J40" s="13">
        <f>I40/I$3</f>
        <v>-0.04</v>
      </c>
      <c r="K40" s="12">
        <f>SUM(K39:K39)</f>
        <v>-14000</v>
      </c>
      <c r="L40" s="13">
        <f>K40/K$3</f>
        <v>-0.04</v>
      </c>
    </row>
    <row r="41" spans="2:12" ht="3.75" customHeight="1">
      <c r="B41" s="22"/>
      <c r="C41" s="15"/>
      <c r="D41" s="16"/>
      <c r="E41" s="15"/>
      <c r="F41" s="16"/>
      <c r="G41" s="15"/>
      <c r="H41" s="16"/>
      <c r="I41" s="15"/>
      <c r="J41" s="16"/>
      <c r="K41" s="15"/>
      <c r="L41" s="16"/>
    </row>
    <row r="42" spans="2:12" ht="13.5" thickBot="1">
      <c r="B42" s="30" t="s">
        <v>45</v>
      </c>
      <c r="C42" s="31">
        <f>C40</f>
        <v>-6000</v>
      </c>
      <c r="D42" s="32">
        <f>C42/C$3</f>
        <v>-0.04</v>
      </c>
      <c r="E42" s="31">
        <f>E40</f>
        <v>-8000</v>
      </c>
      <c r="F42" s="32">
        <f>E42/E$3</f>
        <v>-0.04</v>
      </c>
      <c r="G42" s="31">
        <f>G40</f>
        <v>-10000</v>
      </c>
      <c r="H42" s="32">
        <f>G42/G$3</f>
        <v>-0.04</v>
      </c>
      <c r="I42" s="31">
        <f>I40</f>
        <v>-12000</v>
      </c>
      <c r="J42" s="32">
        <f>I42/I$3</f>
        <v>-0.04</v>
      </c>
      <c r="K42" s="31">
        <f>K40</f>
        <v>-14000</v>
      </c>
      <c r="L42" s="32">
        <f>K42/K$3</f>
        <v>-0.04</v>
      </c>
    </row>
    <row r="43" spans="2:12" ht="4.5" customHeight="1" thickBot="1"/>
    <row r="44" spans="2:12" ht="13.5" thickBot="1">
      <c r="B44" s="54" t="s">
        <v>46</v>
      </c>
      <c r="C44" s="55">
        <f>C37+C42+C11</f>
        <v>10572.846625766862</v>
      </c>
      <c r="D44" s="57">
        <f>C44/C$3</f>
        <v>7.0485644171779077E-2</v>
      </c>
      <c r="E44" s="55">
        <f>E37+E42+E11</f>
        <v>20346.128834355826</v>
      </c>
      <c r="F44" s="57">
        <f>E44/E$3</f>
        <v>0.10173064417177913</v>
      </c>
      <c r="G44" s="55">
        <f>G37+G42+G11</f>
        <v>28155.41104294479</v>
      </c>
      <c r="H44" s="57">
        <f>G44/G$3</f>
        <v>0.11262164417177917</v>
      </c>
      <c r="I44" s="55">
        <f>I37+I42+I11</f>
        <v>46982.43926380371</v>
      </c>
      <c r="J44" s="56">
        <f>I44/I$3</f>
        <v>0.15660813087934569</v>
      </c>
      <c r="K44" s="55">
        <f>K37+K42+K11</f>
        <v>54863.775460122677</v>
      </c>
      <c r="L44" s="56">
        <f>K44/K$3</f>
        <v>0.15675364417177909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&amp;C&amp;"Calibri"&amp;10&amp;K0000FF Classificação da Informação: Publico&amp;1#_x000D_</oddHeader>
    <oddFooter>&amp;C_x000D_&amp;1#&amp;"Calibri"&amp;10&amp;K0000FF Classificação da Informação: Publico</oddFooter>
  </headerFooter>
  <ignoredErrors>
    <ignoredError sqref="F44 D4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A405-D4EA-4E69-B27F-B51F7369FEAD}">
  <dimension ref="B2:P31"/>
  <sheetViews>
    <sheetView showGridLines="0" topLeftCell="A10" zoomScale="80" zoomScaleNormal="80" workbookViewId="0">
      <selection activeCell="L23" sqref="L23"/>
    </sheetView>
  </sheetViews>
  <sheetFormatPr defaultRowHeight="14.5"/>
  <cols>
    <col min="1" max="1" width="1.54296875" customWidth="1"/>
    <col min="2" max="2" width="29.7265625" bestFit="1" customWidth="1"/>
    <col min="4" max="4" width="6.26953125" customWidth="1"/>
    <col min="5" max="5" width="28.7265625" bestFit="1" customWidth="1"/>
    <col min="7" max="7" width="6.453125" customWidth="1"/>
    <col min="8" max="8" width="20" bestFit="1" customWidth="1"/>
    <col min="9" max="9" width="12" customWidth="1"/>
    <col min="10" max="10" width="6.453125" customWidth="1"/>
    <col min="11" max="11" width="11.453125" bestFit="1" customWidth="1"/>
    <col min="12" max="12" width="19.453125" customWidth="1"/>
    <col min="13" max="13" width="13.26953125" customWidth="1"/>
    <col min="14" max="14" width="5.81640625" customWidth="1"/>
    <col min="15" max="15" width="26.7265625" bestFit="1" customWidth="1"/>
    <col min="16" max="16" width="11.26953125" bestFit="1" customWidth="1"/>
  </cols>
  <sheetData>
    <row r="2" spans="2:16">
      <c r="B2" s="44" t="s">
        <v>47</v>
      </c>
      <c r="C2" s="36"/>
    </row>
    <row r="3" spans="2:16">
      <c r="B3" s="44" t="s">
        <v>48</v>
      </c>
      <c r="C3" s="36"/>
    </row>
    <row r="5" spans="2:16">
      <c r="B5" s="37" t="s">
        <v>49</v>
      </c>
    </row>
    <row r="6" spans="2:16">
      <c r="B6" s="38" t="s">
        <v>50</v>
      </c>
    </row>
    <row r="7" spans="2:16">
      <c r="B7" s="58" t="s">
        <v>125</v>
      </c>
    </row>
    <row r="9" spans="2:16">
      <c r="B9" s="39" t="s">
        <v>51</v>
      </c>
      <c r="C9" s="40"/>
      <c r="E9" s="39" t="s">
        <v>65</v>
      </c>
      <c r="H9" s="39" t="s">
        <v>71</v>
      </c>
      <c r="K9" s="39" t="s">
        <v>80</v>
      </c>
      <c r="L9" s="39"/>
      <c r="O9" s="39" t="s">
        <v>99</v>
      </c>
    </row>
    <row r="10" spans="2:16">
      <c r="B10" s="40"/>
      <c r="C10" s="40"/>
    </row>
    <row r="11" spans="2:16">
      <c r="B11" s="41" t="s">
        <v>64</v>
      </c>
      <c r="C11" s="42"/>
      <c r="E11" s="41" t="s">
        <v>67</v>
      </c>
      <c r="F11" s="42"/>
      <c r="H11" s="41" t="s">
        <v>77</v>
      </c>
      <c r="I11" s="42"/>
      <c r="K11" s="41" t="s">
        <v>81</v>
      </c>
      <c r="L11" s="41"/>
      <c r="M11" s="42"/>
      <c r="O11" s="41" t="s">
        <v>100</v>
      </c>
      <c r="P11" s="42"/>
    </row>
    <row r="12" spans="2:16">
      <c r="B12" s="43" t="s">
        <v>124</v>
      </c>
      <c r="C12" s="47">
        <v>81.5</v>
      </c>
      <c r="E12" s="43" t="s">
        <v>74</v>
      </c>
      <c r="F12" s="48"/>
      <c r="H12" s="43" t="s">
        <v>78</v>
      </c>
      <c r="I12" s="45">
        <v>0.34899999999999998</v>
      </c>
      <c r="K12" s="51" t="s">
        <v>1</v>
      </c>
      <c r="L12" s="51" t="s">
        <v>82</v>
      </c>
      <c r="M12" s="51" t="s">
        <v>88</v>
      </c>
      <c r="O12" s="43" t="s">
        <v>101</v>
      </c>
      <c r="P12" s="47">
        <v>500</v>
      </c>
    </row>
    <row r="13" spans="2:16">
      <c r="B13" s="40"/>
      <c r="C13" s="40"/>
      <c r="E13" s="43" t="s">
        <v>66</v>
      </c>
      <c r="F13" s="48"/>
      <c r="H13" s="43" t="s">
        <v>79</v>
      </c>
      <c r="I13" s="45">
        <v>5.0000000000000001E-3</v>
      </c>
      <c r="K13" s="43" t="s">
        <v>84</v>
      </c>
      <c r="L13" s="53">
        <v>5</v>
      </c>
      <c r="M13" s="47">
        <v>3036</v>
      </c>
      <c r="O13" s="43" t="s">
        <v>104</v>
      </c>
      <c r="P13" s="47">
        <v>600</v>
      </c>
    </row>
    <row r="14" spans="2:16">
      <c r="B14" s="40"/>
      <c r="C14" s="40"/>
      <c r="E14" s="43" t="s">
        <v>73</v>
      </c>
      <c r="F14" s="48"/>
      <c r="K14" s="43" t="s">
        <v>85</v>
      </c>
      <c r="L14" s="53">
        <v>1</v>
      </c>
      <c r="M14" s="47">
        <v>5000</v>
      </c>
      <c r="O14" s="43" t="s">
        <v>102</v>
      </c>
      <c r="P14" s="47">
        <v>1250</v>
      </c>
    </row>
    <row r="15" spans="2:16">
      <c r="B15" s="41" t="s">
        <v>52</v>
      </c>
      <c r="C15" s="42"/>
      <c r="H15" s="39" t="s">
        <v>91</v>
      </c>
      <c r="K15" s="43" t="s">
        <v>86</v>
      </c>
      <c r="L15" s="52" t="s">
        <v>87</v>
      </c>
      <c r="M15" s="47">
        <v>13.9</v>
      </c>
      <c r="O15" s="43" t="s">
        <v>105</v>
      </c>
      <c r="P15" s="47">
        <v>4000</v>
      </c>
    </row>
    <row r="16" spans="2:16">
      <c r="B16" s="43" t="s">
        <v>62</v>
      </c>
      <c r="C16" s="47">
        <f>M15</f>
        <v>13.9</v>
      </c>
      <c r="E16" s="41" t="s">
        <v>75</v>
      </c>
      <c r="F16" s="42"/>
      <c r="K16" s="51" t="s">
        <v>3</v>
      </c>
      <c r="L16" s="51" t="s">
        <v>82</v>
      </c>
      <c r="M16" s="51" t="s">
        <v>83</v>
      </c>
      <c r="O16" s="43" t="s">
        <v>103</v>
      </c>
      <c r="P16" s="47">
        <v>2800</v>
      </c>
    </row>
    <row r="17" spans="2:16">
      <c r="B17" s="59" t="s">
        <v>63</v>
      </c>
      <c r="C17" s="45">
        <v>0</v>
      </c>
      <c r="E17" s="43" t="s">
        <v>1</v>
      </c>
      <c r="F17" s="45">
        <v>0.10536449079754601</v>
      </c>
      <c r="H17" s="41" t="s">
        <v>92</v>
      </c>
      <c r="I17" s="42"/>
      <c r="K17" s="43" t="s">
        <v>84</v>
      </c>
      <c r="L17" s="53">
        <v>6</v>
      </c>
      <c r="M17" s="47">
        <v>3036</v>
      </c>
      <c r="O17" s="43" t="s">
        <v>106</v>
      </c>
      <c r="P17" s="48">
        <v>0.02</v>
      </c>
    </row>
    <row r="18" spans="2:16">
      <c r="E18" s="43" t="s">
        <v>3</v>
      </c>
      <c r="F18" s="45">
        <v>0.11748949079754605</v>
      </c>
      <c r="H18" s="43" t="s">
        <v>93</v>
      </c>
      <c r="I18" s="45">
        <v>0.05</v>
      </c>
      <c r="K18" s="43" t="s">
        <v>85</v>
      </c>
      <c r="L18" s="53">
        <v>1</v>
      </c>
      <c r="M18" s="47">
        <v>5000</v>
      </c>
    </row>
    <row r="19" spans="2:16">
      <c r="B19" s="41" t="s">
        <v>53</v>
      </c>
      <c r="C19" s="42"/>
      <c r="E19" s="43" t="s">
        <v>5</v>
      </c>
      <c r="F19" s="45">
        <v>0.12476449079754603</v>
      </c>
      <c r="K19" s="43" t="s">
        <v>86</v>
      </c>
      <c r="L19" s="52" t="s">
        <v>87</v>
      </c>
      <c r="M19" s="47">
        <v>13.9</v>
      </c>
      <c r="O19" s="39" t="s">
        <v>107</v>
      </c>
    </row>
    <row r="20" spans="2:16">
      <c r="B20" s="43" t="s">
        <v>54</v>
      </c>
      <c r="C20" s="45">
        <v>0.16</v>
      </c>
      <c r="E20" s="43" t="s">
        <v>7</v>
      </c>
      <c r="F20" s="45">
        <v>9.9435337423312856E-2</v>
      </c>
      <c r="H20" s="39" t="s">
        <v>94</v>
      </c>
      <c r="K20" s="51" t="s">
        <v>5</v>
      </c>
      <c r="L20" s="51" t="s">
        <v>82</v>
      </c>
      <c r="M20" s="51" t="s">
        <v>83</v>
      </c>
    </row>
    <row r="21" spans="2:16">
      <c r="B21" s="43" t="s">
        <v>55</v>
      </c>
      <c r="C21" s="45">
        <v>0.24</v>
      </c>
      <c r="E21" s="43" t="s">
        <v>72</v>
      </c>
      <c r="F21" s="45">
        <v>0.11443533742331287</v>
      </c>
      <c r="K21" s="43" t="s">
        <v>84</v>
      </c>
      <c r="L21" s="53">
        <v>6</v>
      </c>
      <c r="M21" s="47">
        <v>3036</v>
      </c>
      <c r="O21" s="41" t="s">
        <v>108</v>
      </c>
      <c r="P21" s="42"/>
    </row>
    <row r="22" spans="2:16">
      <c r="B22" s="43" t="s">
        <v>56</v>
      </c>
      <c r="C22" s="45">
        <f>100%-(SUM(C20:C21,C23))</f>
        <v>0.27</v>
      </c>
      <c r="H22" s="41" t="s">
        <v>95</v>
      </c>
      <c r="I22" s="42"/>
      <c r="K22" s="43" t="s">
        <v>85</v>
      </c>
      <c r="L22" s="53">
        <v>2</v>
      </c>
      <c r="M22" s="47">
        <v>5000</v>
      </c>
      <c r="O22" s="43" t="s">
        <v>109</v>
      </c>
      <c r="P22" s="45">
        <v>0.06</v>
      </c>
    </row>
    <row r="23" spans="2:16">
      <c r="B23" s="59" t="s">
        <v>58</v>
      </c>
      <c r="C23" s="45">
        <v>0.33</v>
      </c>
      <c r="E23" s="41" t="s">
        <v>76</v>
      </c>
      <c r="F23" s="42"/>
      <c r="H23" s="43" t="s">
        <v>95</v>
      </c>
      <c r="I23" s="47">
        <v>2000</v>
      </c>
      <c r="K23" s="43" t="s">
        <v>86</v>
      </c>
      <c r="L23" s="52" t="s">
        <v>87</v>
      </c>
      <c r="M23" s="47">
        <v>13.9</v>
      </c>
      <c r="O23" s="43" t="s">
        <v>110</v>
      </c>
      <c r="P23" s="45">
        <v>3.5999999999999997E-2</v>
      </c>
    </row>
    <row r="24" spans="2:16">
      <c r="E24" s="43" t="s">
        <v>68</v>
      </c>
      <c r="F24" s="49">
        <v>1.6500000000000001E-2</v>
      </c>
      <c r="K24" s="51" t="s">
        <v>7</v>
      </c>
      <c r="L24" s="51" t="s">
        <v>82</v>
      </c>
      <c r="M24" s="51" t="s">
        <v>83</v>
      </c>
      <c r="O24" s="43" t="s">
        <v>115</v>
      </c>
      <c r="P24" s="47">
        <v>2</v>
      </c>
    </row>
    <row r="25" spans="2:16">
      <c r="B25" s="41" t="s">
        <v>59</v>
      </c>
      <c r="C25" s="42"/>
      <c r="E25" s="43" t="s">
        <v>69</v>
      </c>
      <c r="F25" s="49">
        <v>7.5999999999999998E-2</v>
      </c>
      <c r="H25" s="39" t="s">
        <v>96</v>
      </c>
      <c r="K25" s="43" t="s">
        <v>84</v>
      </c>
      <c r="L25" s="53">
        <v>7</v>
      </c>
      <c r="M25" s="47">
        <v>3036</v>
      </c>
      <c r="O25" s="43" t="s">
        <v>117</v>
      </c>
      <c r="P25" s="45">
        <v>5.0000000000000001E-3</v>
      </c>
    </row>
    <row r="26" spans="2:16">
      <c r="B26" s="59" t="s">
        <v>60</v>
      </c>
      <c r="C26" s="45">
        <v>0.4</v>
      </c>
      <c r="E26" s="43" t="s">
        <v>70</v>
      </c>
      <c r="F26" s="45">
        <v>3.5000000000000003E-2</v>
      </c>
      <c r="K26" s="43" t="s">
        <v>85</v>
      </c>
      <c r="L26" s="53">
        <v>2</v>
      </c>
      <c r="M26" s="47">
        <v>5000</v>
      </c>
      <c r="O26" s="43" t="s">
        <v>118</v>
      </c>
      <c r="P26" s="47">
        <v>1800</v>
      </c>
    </row>
    <row r="27" spans="2:16">
      <c r="B27" s="59" t="s">
        <v>61</v>
      </c>
      <c r="C27" s="45">
        <v>0.6</v>
      </c>
      <c r="H27" s="41" t="s">
        <v>95</v>
      </c>
      <c r="I27" s="42"/>
      <c r="K27" s="43" t="s">
        <v>86</v>
      </c>
      <c r="L27" s="52" t="s">
        <v>87</v>
      </c>
      <c r="M27" s="47">
        <v>13.9</v>
      </c>
    </row>
    <row r="28" spans="2:16">
      <c r="H28" s="43" t="s">
        <v>57</v>
      </c>
      <c r="I28" s="49">
        <v>0.11749999999999999</v>
      </c>
      <c r="K28" s="51" t="s">
        <v>72</v>
      </c>
      <c r="L28" s="51" t="s">
        <v>82</v>
      </c>
      <c r="M28" s="51" t="s">
        <v>83</v>
      </c>
      <c r="O28" s="39" t="s">
        <v>112</v>
      </c>
    </row>
    <row r="29" spans="2:16">
      <c r="H29" s="43" t="s">
        <v>97</v>
      </c>
      <c r="I29" s="45">
        <v>1.4999999999999999E-2</v>
      </c>
      <c r="K29" s="43" t="s">
        <v>84</v>
      </c>
      <c r="L29" s="53">
        <v>8</v>
      </c>
      <c r="M29" s="47">
        <v>3036</v>
      </c>
    </row>
    <row r="30" spans="2:16">
      <c r="H30" s="43" t="s">
        <v>98</v>
      </c>
      <c r="I30" s="45">
        <v>1.4999999999999999E-2</v>
      </c>
      <c r="K30" s="43" t="s">
        <v>85</v>
      </c>
      <c r="L30" s="53">
        <v>2</v>
      </c>
      <c r="M30" s="47">
        <v>5000</v>
      </c>
      <c r="O30" s="41" t="s">
        <v>113</v>
      </c>
      <c r="P30" s="42"/>
    </row>
    <row r="31" spans="2:16">
      <c r="K31" s="43" t="s">
        <v>86</v>
      </c>
      <c r="L31" s="52" t="s">
        <v>87</v>
      </c>
      <c r="M31" s="47">
        <v>13.9</v>
      </c>
      <c r="O31" s="43" t="s">
        <v>114</v>
      </c>
      <c r="P31" s="45">
        <v>0.04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&amp;C&amp;"Calibri"&amp;10&amp;K0000FF Classificação da Informação: Publico&amp;1#_x000D_</oddHeader>
    <oddFooter>&amp;C_x000D_&amp;1#&amp;"Calibri"&amp;10&amp;K0000FF Classificação da Informação: Publico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018D-B9E8-496E-90DA-F25B43F9E858}">
  <dimension ref="B1:N45"/>
  <sheetViews>
    <sheetView showGridLines="0" zoomScale="80" zoomScaleNormal="80" workbookViewId="0">
      <selection activeCell="C6" sqref="C6"/>
    </sheetView>
  </sheetViews>
  <sheetFormatPr defaultColWidth="9.1796875" defaultRowHeight="13"/>
  <cols>
    <col min="1" max="1" width="9.1796875" style="1"/>
    <col min="2" max="2" width="71.453125" style="1" bestFit="1" customWidth="1"/>
    <col min="3" max="3" width="13.453125" style="1" bestFit="1" customWidth="1"/>
    <col min="4" max="11" width="12" style="1" customWidth="1"/>
    <col min="12" max="12" width="12.453125" style="1" customWidth="1"/>
    <col min="13" max="16384" width="9.1796875" style="1"/>
  </cols>
  <sheetData>
    <row r="1" spans="2:14" ht="13.5" thickBot="1"/>
    <row r="2" spans="2:14" ht="13.5" thickBo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2:14">
      <c r="B3" s="4" t="s">
        <v>11</v>
      </c>
      <c r="C3" s="5">
        <v>150000</v>
      </c>
      <c r="D3" s="6">
        <f>C3/C$3</f>
        <v>1</v>
      </c>
      <c r="E3" s="5">
        <v>200000</v>
      </c>
      <c r="F3" s="6">
        <f>E3/E$3</f>
        <v>1</v>
      </c>
      <c r="G3" s="5">
        <v>250000</v>
      </c>
      <c r="H3" s="6">
        <f>G3/G$3</f>
        <v>1</v>
      </c>
      <c r="I3" s="5">
        <v>300000</v>
      </c>
      <c r="J3" s="6">
        <f>I3/I$3</f>
        <v>1</v>
      </c>
      <c r="K3" s="5">
        <v>400000</v>
      </c>
      <c r="L3" s="6">
        <f>K3/K$3</f>
        <v>1</v>
      </c>
    </row>
    <row r="4" spans="2:14">
      <c r="B4" s="4" t="s">
        <v>12</v>
      </c>
      <c r="C4" s="5">
        <v>9780.0101398423503</v>
      </c>
      <c r="D4" s="20">
        <f>C4/C$3</f>
        <v>6.5200067598949002E-2</v>
      </c>
      <c r="E4" s="5">
        <v>13040.0135197898</v>
      </c>
      <c r="F4" s="6">
        <f>E4/E$3</f>
        <v>6.5200067598949002E-2</v>
      </c>
      <c r="G4" s="5">
        <v>16300.016899737251</v>
      </c>
      <c r="H4" s="6">
        <f>G4/G$3</f>
        <v>6.5200067598949002E-2</v>
      </c>
      <c r="I4" s="5">
        <v>19560.020279684701</v>
      </c>
      <c r="J4" s="6">
        <f>I4/I$3</f>
        <v>6.5200067598949002E-2</v>
      </c>
      <c r="K4" s="5">
        <v>26080.0270395796</v>
      </c>
      <c r="L4" s="6">
        <f>K4/K$3</f>
        <v>6.5200067598949002E-2</v>
      </c>
    </row>
    <row r="5" spans="2:14">
      <c r="B5" s="7" t="s">
        <v>13</v>
      </c>
      <c r="C5" s="8">
        <f>SUM(C3:C4)</f>
        <v>159780.01013984234</v>
      </c>
      <c r="D5" s="9">
        <f t="shared" ref="D5:F10" si="0">C5/C$3</f>
        <v>1.065200067598949</v>
      </c>
      <c r="E5" s="8">
        <f>SUM(E3:E4)</f>
        <v>213040.01351978979</v>
      </c>
      <c r="F5" s="9">
        <f t="shared" si="0"/>
        <v>1.065200067598949</v>
      </c>
      <c r="G5" s="8">
        <f>SUM(G3:G4)</f>
        <v>266300.01689973724</v>
      </c>
      <c r="H5" s="9">
        <f t="shared" ref="H5:H10" si="1">G5/G$3</f>
        <v>1.065200067598949</v>
      </c>
      <c r="I5" s="8">
        <f>SUM(I3:I4)</f>
        <v>319560.02027968469</v>
      </c>
      <c r="J5" s="9">
        <f t="shared" ref="J5:J10" si="2">I5/I$3</f>
        <v>1.065200067598949</v>
      </c>
      <c r="K5" s="8">
        <f>SUM(K3:K4)</f>
        <v>426080.02703957958</v>
      </c>
      <c r="L5" s="9">
        <f t="shared" ref="L5:L10" si="3">K5/K$3</f>
        <v>1.065200067598949</v>
      </c>
      <c r="N5" s="10"/>
    </row>
    <row r="6" spans="2:14">
      <c r="B6" s="4" t="s">
        <v>14</v>
      </c>
      <c r="C6" s="5">
        <v>-18856</v>
      </c>
      <c r="D6" s="6">
        <f t="shared" si="0"/>
        <v>-0.12570666666666666</v>
      </c>
      <c r="E6" s="5">
        <v>-21154.873342515129</v>
      </c>
      <c r="F6" s="6">
        <f t="shared" si="0"/>
        <v>-0.10577436671257565</v>
      </c>
      <c r="G6" s="5">
        <v>-26443.591678143908</v>
      </c>
      <c r="H6" s="6">
        <f t="shared" si="1"/>
        <v>-0.10577436671257563</v>
      </c>
      <c r="I6" s="5">
        <v>-31732.310013772691</v>
      </c>
      <c r="J6" s="6">
        <f t="shared" si="2"/>
        <v>-0.10577436671257563</v>
      </c>
      <c r="K6" s="5">
        <v>-42309.746685030259</v>
      </c>
      <c r="L6" s="6">
        <f t="shared" si="3"/>
        <v>-0.10577436671257565</v>
      </c>
    </row>
    <row r="7" spans="2:14">
      <c r="B7" s="7" t="s">
        <v>15</v>
      </c>
      <c r="C7" s="8">
        <f>SUM(C5:C6)</f>
        <v>140924.01013984234</v>
      </c>
      <c r="D7" s="9">
        <f t="shared" si="0"/>
        <v>0.93949340093228229</v>
      </c>
      <c r="E7" s="8">
        <f>SUM(E5:E6)</f>
        <v>191885.14017727465</v>
      </c>
      <c r="F7" s="9">
        <f t="shared" si="0"/>
        <v>0.95942570088637324</v>
      </c>
      <c r="G7" s="8">
        <f>SUM(G5:G6)</f>
        <v>239856.42522159332</v>
      </c>
      <c r="H7" s="9">
        <f t="shared" si="1"/>
        <v>0.95942570088637324</v>
      </c>
      <c r="I7" s="8">
        <f>SUM(I5:I6)</f>
        <v>287827.710265912</v>
      </c>
      <c r="J7" s="9">
        <f t="shared" si="2"/>
        <v>0.95942570088637336</v>
      </c>
      <c r="K7" s="8">
        <f>SUM(K5:K6)</f>
        <v>383770.28035454929</v>
      </c>
      <c r="L7" s="9">
        <f t="shared" si="3"/>
        <v>0.95942570088637324</v>
      </c>
    </row>
    <row r="8" spans="2:14">
      <c r="B8" s="11" t="s">
        <v>16</v>
      </c>
      <c r="C8" s="12">
        <v>-43914.375</v>
      </c>
      <c r="D8" s="13">
        <f t="shared" si="0"/>
        <v>-0.29276249999999998</v>
      </c>
      <c r="E8" s="12">
        <v>-58552.499999999993</v>
      </c>
      <c r="F8" s="13">
        <f t="shared" si="0"/>
        <v>-0.29276249999999998</v>
      </c>
      <c r="G8" s="12">
        <v>-73190.625</v>
      </c>
      <c r="H8" s="13">
        <f t="shared" si="1"/>
        <v>-0.29276249999999998</v>
      </c>
      <c r="I8" s="12">
        <v>-87828.75</v>
      </c>
      <c r="J8" s="13">
        <f t="shared" si="2"/>
        <v>-0.29276249999999998</v>
      </c>
      <c r="K8" s="12">
        <v>-117104.99999999999</v>
      </c>
      <c r="L8" s="13">
        <f t="shared" si="3"/>
        <v>-0.29276249999999998</v>
      </c>
    </row>
    <row r="9" spans="2:14">
      <c r="B9" s="14" t="s">
        <v>17</v>
      </c>
      <c r="C9" s="15">
        <v>-4500</v>
      </c>
      <c r="D9" s="16">
        <f t="shared" si="0"/>
        <v>-0.03</v>
      </c>
      <c r="E9" s="15">
        <v>-6000</v>
      </c>
      <c r="F9" s="16">
        <f t="shared" si="0"/>
        <v>-0.03</v>
      </c>
      <c r="G9" s="15">
        <v>-7500</v>
      </c>
      <c r="H9" s="16">
        <f t="shared" si="1"/>
        <v>-0.03</v>
      </c>
      <c r="I9" s="15">
        <v>-9000</v>
      </c>
      <c r="J9" s="16">
        <f t="shared" si="2"/>
        <v>-0.03</v>
      </c>
      <c r="K9" s="15">
        <v>-12000</v>
      </c>
      <c r="L9" s="16">
        <f t="shared" si="3"/>
        <v>-0.03</v>
      </c>
    </row>
    <row r="10" spans="2:14">
      <c r="B10" s="11" t="s">
        <v>18</v>
      </c>
      <c r="C10" s="12">
        <f>C9+C8</f>
        <v>-48414.375</v>
      </c>
      <c r="D10" s="13">
        <f t="shared" si="0"/>
        <v>-0.32276250000000001</v>
      </c>
      <c r="E10" s="12">
        <f>E9+E8</f>
        <v>-64552.499999999993</v>
      </c>
      <c r="F10" s="13">
        <f t="shared" si="0"/>
        <v>-0.32276249999999995</v>
      </c>
      <c r="G10" s="12">
        <f>G9+G8</f>
        <v>-80690.625</v>
      </c>
      <c r="H10" s="13">
        <f t="shared" si="1"/>
        <v>-0.32276250000000001</v>
      </c>
      <c r="I10" s="12">
        <f>I9+I8</f>
        <v>-96828.75</v>
      </c>
      <c r="J10" s="13">
        <f t="shared" si="2"/>
        <v>-0.32276250000000001</v>
      </c>
      <c r="K10" s="12">
        <f>K9+K8</f>
        <v>-129104.99999999999</v>
      </c>
      <c r="L10" s="13">
        <f t="shared" si="3"/>
        <v>-0.32276249999999995</v>
      </c>
    </row>
    <row r="11" spans="2:14">
      <c r="B11" s="17" t="s">
        <v>19</v>
      </c>
      <c r="C11" s="18"/>
      <c r="D11" s="19"/>
      <c r="E11" s="18"/>
      <c r="F11" s="19"/>
      <c r="G11" s="18"/>
      <c r="H11" s="19"/>
      <c r="I11" s="18"/>
      <c r="J11" s="19"/>
      <c r="K11" s="18"/>
      <c r="L11" s="19"/>
    </row>
    <row r="12" spans="2:14">
      <c r="B12" s="7" t="s">
        <v>19</v>
      </c>
      <c r="C12" s="8">
        <f>C7+C10</f>
        <v>92509.635139842343</v>
      </c>
      <c r="D12" s="9">
        <f>C12/C$3</f>
        <v>0.61673090093228233</v>
      </c>
      <c r="E12" s="8">
        <f>E7+E10</f>
        <v>127332.64017727465</v>
      </c>
      <c r="F12" s="9">
        <f>E12/E$3</f>
        <v>0.63666320088637318</v>
      </c>
      <c r="G12" s="8">
        <f>G7+G10</f>
        <v>159165.80022159332</v>
      </c>
      <c r="H12" s="9">
        <f t="shared" ref="H12:H21" si="4">G12/G$3</f>
        <v>0.63666320088637329</v>
      </c>
      <c r="I12" s="8">
        <f>I7+I10</f>
        <v>190998.960265912</v>
      </c>
      <c r="J12" s="9">
        <f t="shared" ref="J12:J21" si="5">I12/I$3</f>
        <v>0.63666320088637329</v>
      </c>
      <c r="K12" s="8">
        <f>K7+K10</f>
        <v>254665.28035454929</v>
      </c>
      <c r="L12" s="9">
        <f t="shared" ref="L12:L21" si="6">K12/K$3</f>
        <v>0.63666320088637318</v>
      </c>
    </row>
    <row r="13" spans="2:14">
      <c r="B13" s="11" t="s">
        <v>20</v>
      </c>
      <c r="C13" s="12">
        <f>SUM(C14:C15)</f>
        <v>0</v>
      </c>
      <c r="D13" s="13">
        <f>C13/C$3</f>
        <v>0</v>
      </c>
      <c r="E13" s="12">
        <f>SUM(E14:E15)</f>
        <v>0</v>
      </c>
      <c r="F13" s="13">
        <f>E13/E$3</f>
        <v>0</v>
      </c>
      <c r="G13" s="12">
        <f>SUM(G14:G15)</f>
        <v>0</v>
      </c>
      <c r="H13" s="13">
        <f t="shared" si="4"/>
        <v>0</v>
      </c>
      <c r="I13" s="12">
        <f>SUM(I14:I15)</f>
        <v>0</v>
      </c>
      <c r="J13" s="13">
        <f t="shared" si="5"/>
        <v>0</v>
      </c>
      <c r="K13" s="12">
        <f>SUM(K14:K15)</f>
        <v>0</v>
      </c>
      <c r="L13" s="13">
        <f t="shared" si="6"/>
        <v>0</v>
      </c>
    </row>
    <row r="14" spans="2:14">
      <c r="B14" s="4" t="s">
        <v>89</v>
      </c>
      <c r="C14" s="5"/>
      <c r="D14" s="6"/>
      <c r="E14" s="5"/>
      <c r="F14" s="6"/>
      <c r="G14" s="5"/>
      <c r="H14" s="6"/>
      <c r="I14" s="5"/>
      <c r="J14" s="6"/>
      <c r="K14" s="5"/>
      <c r="L14" s="6"/>
    </row>
    <row r="15" spans="2:14">
      <c r="B15" s="4" t="s">
        <v>90</v>
      </c>
      <c r="C15" s="5"/>
      <c r="D15" s="6"/>
      <c r="E15" s="5"/>
      <c r="F15" s="20"/>
      <c r="G15" s="5"/>
      <c r="H15" s="6"/>
      <c r="I15" s="5"/>
      <c r="J15" s="6"/>
      <c r="K15" s="5"/>
      <c r="L15" s="6"/>
    </row>
    <row r="16" spans="2:14">
      <c r="B16" s="11" t="s">
        <v>21</v>
      </c>
      <c r="C16" s="12">
        <f>-C3*5%</f>
        <v>-7500</v>
      </c>
      <c r="D16" s="13">
        <f t="shared" ref="D16:D35" si="7">C16/C$3</f>
        <v>-0.05</v>
      </c>
      <c r="E16" s="12">
        <f>-E3*5%</f>
        <v>-10000</v>
      </c>
      <c r="F16" s="13">
        <f t="shared" ref="F16:F35" si="8">E16/E$3</f>
        <v>-0.05</v>
      </c>
      <c r="G16" s="12">
        <f>-G3*5%</f>
        <v>-12500</v>
      </c>
      <c r="H16" s="13">
        <f t="shared" si="4"/>
        <v>-0.05</v>
      </c>
      <c r="I16" s="12">
        <f>-I3*5%</f>
        <v>-15000</v>
      </c>
      <c r="J16" s="13">
        <f t="shared" si="5"/>
        <v>-0.05</v>
      </c>
      <c r="K16" s="12">
        <f>-K3*5%</f>
        <v>-20000</v>
      </c>
      <c r="L16" s="13">
        <f t="shared" si="6"/>
        <v>-0.05</v>
      </c>
    </row>
    <row r="17" spans="2:12">
      <c r="B17" s="11" t="s">
        <v>22</v>
      </c>
      <c r="C17" s="12">
        <v>-2208.4701515151519</v>
      </c>
      <c r="D17" s="13">
        <f t="shared" si="7"/>
        <v>-1.4723134343434346E-2</v>
      </c>
      <c r="E17" s="12">
        <v>-2208.4701515151519</v>
      </c>
      <c r="F17" s="13">
        <f t="shared" si="8"/>
        <v>-1.104235075757576E-2</v>
      </c>
      <c r="G17" s="12">
        <v>-2208.4701515151519</v>
      </c>
      <c r="H17" s="13">
        <f t="shared" si="4"/>
        <v>-8.8338806060606068E-3</v>
      </c>
      <c r="I17" s="12">
        <v>-2208.4701515151519</v>
      </c>
      <c r="J17" s="13">
        <f t="shared" si="5"/>
        <v>-7.3615671717171729E-3</v>
      </c>
      <c r="K17" s="12">
        <v>-2208.4701515151519</v>
      </c>
      <c r="L17" s="13">
        <f t="shared" si="6"/>
        <v>-5.5211753787878801E-3</v>
      </c>
    </row>
    <row r="18" spans="2:12">
      <c r="B18" s="4" t="s">
        <v>23</v>
      </c>
      <c r="C18" s="5">
        <v>-7368.3791463790285</v>
      </c>
      <c r="D18" s="6">
        <f t="shared" si="7"/>
        <v>-4.9122527642526857E-2</v>
      </c>
      <c r="E18" s="5">
        <v>-9824.5055285053713</v>
      </c>
      <c r="F18" s="6">
        <f t="shared" si="8"/>
        <v>-4.9122527642526857E-2</v>
      </c>
      <c r="G18" s="5">
        <v>-12280.631910631715</v>
      </c>
      <c r="H18" s="6">
        <f t="shared" si="4"/>
        <v>-4.9122527642526857E-2</v>
      </c>
      <c r="I18" s="5">
        <v>-14736.758292758057</v>
      </c>
      <c r="J18" s="6">
        <f t="shared" si="5"/>
        <v>-4.9122527642526857E-2</v>
      </c>
      <c r="K18" s="5">
        <v>-19649.011057010743</v>
      </c>
      <c r="L18" s="6">
        <f t="shared" si="6"/>
        <v>-4.9122527642526857E-2</v>
      </c>
    </row>
    <row r="19" spans="2:12">
      <c r="B19" s="4" t="s">
        <v>24</v>
      </c>
      <c r="C19" s="5">
        <v>-1505.4756579117166</v>
      </c>
      <c r="D19" s="6">
        <f t="shared" si="7"/>
        <v>-1.003650438607811E-2</v>
      </c>
      <c r="E19" s="5">
        <v>-2007.3008772156222</v>
      </c>
      <c r="F19" s="20">
        <f t="shared" si="8"/>
        <v>-1.003650438607811E-2</v>
      </c>
      <c r="G19" s="5">
        <v>-2509.1260965195274</v>
      </c>
      <c r="H19" s="6">
        <f t="shared" si="4"/>
        <v>-1.003650438607811E-2</v>
      </c>
      <c r="I19" s="5">
        <v>-3010.9513158234331</v>
      </c>
      <c r="J19" s="6">
        <f t="shared" si="5"/>
        <v>-1.003650438607811E-2</v>
      </c>
      <c r="K19" s="5">
        <v>-4014.6017544312444</v>
      </c>
      <c r="L19" s="6">
        <f t="shared" si="6"/>
        <v>-1.003650438607811E-2</v>
      </c>
    </row>
    <row r="20" spans="2:12">
      <c r="B20" s="11" t="s">
        <v>25</v>
      </c>
      <c r="C20" s="12">
        <f>SUM(C18:C19)</f>
        <v>-8873.854804290746</v>
      </c>
      <c r="D20" s="13">
        <f t="shared" si="7"/>
        <v>-5.9159032028604973E-2</v>
      </c>
      <c r="E20" s="12">
        <f>SUM(E18:E19)</f>
        <v>-11831.806405720994</v>
      </c>
      <c r="F20" s="13">
        <f t="shared" si="8"/>
        <v>-5.9159032028604973E-2</v>
      </c>
      <c r="G20" s="12">
        <f>SUM(G18:G19)</f>
        <v>-14789.758007151242</v>
      </c>
      <c r="H20" s="13">
        <f t="shared" si="4"/>
        <v>-5.9159032028604966E-2</v>
      </c>
      <c r="I20" s="12">
        <f>SUM(I18:I19)</f>
        <v>-17747.709608581492</v>
      </c>
      <c r="J20" s="13">
        <f t="shared" si="5"/>
        <v>-5.9159032028604973E-2</v>
      </c>
      <c r="K20" s="12">
        <f>SUM(K18:K19)</f>
        <v>-23663.612811441988</v>
      </c>
      <c r="L20" s="13">
        <f t="shared" si="6"/>
        <v>-5.9159032028604973E-2</v>
      </c>
    </row>
    <row r="21" spans="2:12">
      <c r="B21" s="4" t="s">
        <v>26</v>
      </c>
      <c r="C21" s="21">
        <v>-400</v>
      </c>
      <c r="D21" s="6">
        <f t="shared" si="7"/>
        <v>-2.6666666666666666E-3</v>
      </c>
      <c r="E21" s="21">
        <v>-400</v>
      </c>
      <c r="F21" s="6">
        <f t="shared" si="8"/>
        <v>-2E-3</v>
      </c>
      <c r="G21" s="21">
        <v>-400</v>
      </c>
      <c r="H21" s="6">
        <f t="shared" si="4"/>
        <v>-1.6000000000000001E-3</v>
      </c>
      <c r="I21" s="21">
        <v>-400</v>
      </c>
      <c r="J21" s="6">
        <f t="shared" si="5"/>
        <v>-1.3333333333333333E-3</v>
      </c>
      <c r="K21" s="21">
        <v>-400</v>
      </c>
      <c r="L21" s="6">
        <f t="shared" si="6"/>
        <v>-1E-3</v>
      </c>
    </row>
    <row r="22" spans="2:12">
      <c r="B22" s="4" t="s">
        <v>27</v>
      </c>
      <c r="C22" s="21">
        <v>-600</v>
      </c>
      <c r="D22" s="6">
        <f t="shared" si="7"/>
        <v>-4.0000000000000001E-3</v>
      </c>
      <c r="E22" s="21">
        <v>-600</v>
      </c>
      <c r="F22" s="6">
        <f t="shared" si="8"/>
        <v>-3.0000000000000001E-3</v>
      </c>
      <c r="G22" s="21">
        <v>-600</v>
      </c>
      <c r="H22" s="6">
        <f t="shared" ref="H22:H35" si="9">G22/G$3</f>
        <v>-2.3999999999999998E-3</v>
      </c>
      <c r="I22" s="21">
        <v>-600</v>
      </c>
      <c r="J22" s="6">
        <f t="shared" ref="J22:J35" si="10">I22/I$3</f>
        <v>-2E-3</v>
      </c>
      <c r="K22" s="21">
        <v>-600</v>
      </c>
      <c r="L22" s="6">
        <f t="shared" ref="L22:L35" si="11">K22/K$3</f>
        <v>-1.5E-3</v>
      </c>
    </row>
    <row r="23" spans="2:12">
      <c r="B23" s="4" t="s">
        <v>28</v>
      </c>
      <c r="C23" s="5">
        <v>-812.41984848484844</v>
      </c>
      <c r="D23" s="6">
        <f t="shared" si="7"/>
        <v>-5.4161323232323226E-3</v>
      </c>
      <c r="E23" s="5">
        <v>-812.41984848484844</v>
      </c>
      <c r="F23" s="6">
        <f t="shared" si="8"/>
        <v>-4.0620992424242426E-3</v>
      </c>
      <c r="G23" s="5">
        <v>-812.41984848484844</v>
      </c>
      <c r="H23" s="6">
        <f t="shared" si="9"/>
        <v>-3.2496793939393938E-3</v>
      </c>
      <c r="I23" s="5">
        <v>-812.41984848484844</v>
      </c>
      <c r="J23" s="6">
        <f t="shared" si="10"/>
        <v>-2.7080661616161613E-3</v>
      </c>
      <c r="K23" s="5">
        <v>-812.41984848484844</v>
      </c>
      <c r="L23" s="6">
        <f t="shared" si="11"/>
        <v>-2.0310496212121213E-3</v>
      </c>
    </row>
    <row r="24" spans="2:12">
      <c r="B24" s="4" t="s">
        <v>29</v>
      </c>
      <c r="C24" s="5">
        <v>-4151.3402525252523</v>
      </c>
      <c r="D24" s="6">
        <f t="shared" si="7"/>
        <v>-2.7675601683501683E-2</v>
      </c>
      <c r="E24" s="5">
        <v>-4151.3402525252523</v>
      </c>
      <c r="F24" s="6">
        <f t="shared" si="8"/>
        <v>-2.075670126262626E-2</v>
      </c>
      <c r="G24" s="5">
        <v>-4151.3402525252523</v>
      </c>
      <c r="H24" s="6">
        <f t="shared" si="9"/>
        <v>-1.6605361010101009E-2</v>
      </c>
      <c r="I24" s="5">
        <v>-4151.3402525252523</v>
      </c>
      <c r="J24" s="6">
        <f t="shared" si="10"/>
        <v>-1.3837800841750842E-2</v>
      </c>
      <c r="K24" s="5">
        <v>-4151.3402525252523</v>
      </c>
      <c r="L24" s="6">
        <f t="shared" si="11"/>
        <v>-1.037835063131313E-2</v>
      </c>
    </row>
    <row r="25" spans="2:12">
      <c r="B25" s="4" t="s">
        <v>30</v>
      </c>
      <c r="C25" s="5">
        <v>-2720.5336111111119</v>
      </c>
      <c r="D25" s="6">
        <f t="shared" si="7"/>
        <v>-1.8136890740740746E-2</v>
      </c>
      <c r="E25" s="5">
        <v>-2720.5336111111119</v>
      </c>
      <c r="F25" s="6">
        <f t="shared" si="8"/>
        <v>-1.360266805555556E-2</v>
      </c>
      <c r="G25" s="5">
        <v>-2720.5336111111119</v>
      </c>
      <c r="H25" s="6">
        <f t="shared" si="9"/>
        <v>-1.0882134444444448E-2</v>
      </c>
      <c r="I25" s="5">
        <v>-2720.5336111111119</v>
      </c>
      <c r="J25" s="6">
        <f t="shared" si="10"/>
        <v>-9.0684453703703729E-3</v>
      </c>
      <c r="K25" s="5">
        <v>-2720.5336111111119</v>
      </c>
      <c r="L25" s="6">
        <f t="shared" si="11"/>
        <v>-6.8013340277777801E-3</v>
      </c>
    </row>
    <row r="26" spans="2:12">
      <c r="B26" s="4" t="s">
        <v>31</v>
      </c>
      <c r="C26" s="5"/>
      <c r="D26" s="6">
        <f t="shared" si="7"/>
        <v>0</v>
      </c>
      <c r="E26" s="5"/>
      <c r="F26" s="6">
        <f t="shared" si="8"/>
        <v>0</v>
      </c>
      <c r="G26" s="5"/>
      <c r="H26" s="6">
        <f t="shared" si="9"/>
        <v>0</v>
      </c>
      <c r="I26" s="5"/>
      <c r="J26" s="6">
        <f t="shared" si="10"/>
        <v>0</v>
      </c>
      <c r="K26" s="5"/>
      <c r="L26" s="6">
        <f t="shared" si="11"/>
        <v>0</v>
      </c>
    </row>
    <row r="27" spans="2:12">
      <c r="B27" s="11" t="s">
        <v>32</v>
      </c>
      <c r="C27" s="12">
        <f>SUM(C21:C26)</f>
        <v>-8684.2937121212126</v>
      </c>
      <c r="D27" s="13">
        <f t="shared" si="7"/>
        <v>-5.7895291414141417E-2</v>
      </c>
      <c r="E27" s="12">
        <f>SUM(E21:E26)</f>
        <v>-8684.2937121212126</v>
      </c>
      <c r="F27" s="13">
        <f t="shared" si="8"/>
        <v>-4.3421468560606066E-2</v>
      </c>
      <c r="G27" s="12">
        <f>SUM(G21:G26)</f>
        <v>-8684.2937121212126</v>
      </c>
      <c r="H27" s="13">
        <f t="shared" si="9"/>
        <v>-3.4737174848484847E-2</v>
      </c>
      <c r="I27" s="12">
        <f>SUM(I21:I26)</f>
        <v>-8684.2937121212126</v>
      </c>
      <c r="J27" s="13">
        <f t="shared" si="10"/>
        <v>-2.8947645707070709E-2</v>
      </c>
      <c r="K27" s="12">
        <f>SUM(K21:K26)</f>
        <v>-8684.2937121212126</v>
      </c>
      <c r="L27" s="13">
        <f t="shared" si="11"/>
        <v>-2.1710734280303033E-2</v>
      </c>
    </row>
    <row r="28" spans="2:12">
      <c r="B28" s="4" t="s">
        <v>33</v>
      </c>
      <c r="C28" s="5">
        <f>C3*-6%</f>
        <v>-9000</v>
      </c>
      <c r="D28" s="6">
        <f t="shared" si="7"/>
        <v>-0.06</v>
      </c>
      <c r="E28" s="5">
        <f>E3*-6%</f>
        <v>-12000</v>
      </c>
      <c r="F28" s="6">
        <f t="shared" si="8"/>
        <v>-0.06</v>
      </c>
      <c r="G28" s="5">
        <f>G3*-6%</f>
        <v>-15000</v>
      </c>
      <c r="H28" s="6">
        <f t="shared" si="9"/>
        <v>-0.06</v>
      </c>
      <c r="I28" s="5">
        <f>I3*-6%</f>
        <v>-18000</v>
      </c>
      <c r="J28" s="6">
        <f t="shared" si="10"/>
        <v>-0.06</v>
      </c>
      <c r="K28" s="5">
        <f>K3*-6%</f>
        <v>-24000</v>
      </c>
      <c r="L28" s="6">
        <f t="shared" si="11"/>
        <v>-0.06</v>
      </c>
    </row>
    <row r="29" spans="2:12">
      <c r="B29" s="4" t="s">
        <v>34</v>
      </c>
      <c r="C29" s="5">
        <f>C4*-3.6%</f>
        <v>-352.08036503432464</v>
      </c>
      <c r="D29" s="6">
        <f t="shared" si="7"/>
        <v>-2.3472024335621641E-3</v>
      </c>
      <c r="E29" s="5">
        <f>E4*-3.6%</f>
        <v>-469.44048671243286</v>
      </c>
      <c r="F29" s="6">
        <f t="shared" si="8"/>
        <v>-2.3472024335621641E-3</v>
      </c>
      <c r="G29" s="5">
        <f>G4*-3.6%</f>
        <v>-586.80060839054113</v>
      </c>
      <c r="H29" s="6">
        <f t="shared" si="9"/>
        <v>-2.3472024335621645E-3</v>
      </c>
      <c r="I29" s="5">
        <f>I4*-3.6%</f>
        <v>-704.16073006864929</v>
      </c>
      <c r="J29" s="6">
        <f t="shared" si="10"/>
        <v>-2.3472024335621641E-3</v>
      </c>
      <c r="K29" s="5">
        <f>K4*-3.6%</f>
        <v>-938.88097342486572</v>
      </c>
      <c r="L29" s="6">
        <f t="shared" si="11"/>
        <v>-2.3472024335621641E-3</v>
      </c>
    </row>
    <row r="30" spans="2:12">
      <c r="B30" s="4" t="s">
        <v>35</v>
      </c>
      <c r="C30" s="5"/>
      <c r="D30" s="6">
        <f t="shared" si="7"/>
        <v>0</v>
      </c>
      <c r="E30" s="5"/>
      <c r="F30" s="6">
        <f t="shared" si="8"/>
        <v>0</v>
      </c>
      <c r="G30" s="5"/>
      <c r="H30" s="6">
        <f t="shared" si="9"/>
        <v>0</v>
      </c>
      <c r="I30" s="5"/>
      <c r="J30" s="6">
        <f t="shared" si="10"/>
        <v>0</v>
      </c>
      <c r="K30" s="5"/>
      <c r="L30" s="6">
        <f t="shared" si="11"/>
        <v>0</v>
      </c>
    </row>
    <row r="31" spans="2:12">
      <c r="B31" s="11" t="s">
        <v>36</v>
      </c>
      <c r="C31" s="12">
        <f>SUM(C28:C30)</f>
        <v>-9352.0803650343241</v>
      </c>
      <c r="D31" s="13">
        <f t="shared" si="7"/>
        <v>-6.2347202433562163E-2</v>
      </c>
      <c r="E31" s="12">
        <f>SUM(E28:E30)</f>
        <v>-12469.440486712432</v>
      </c>
      <c r="F31" s="13">
        <f t="shared" si="8"/>
        <v>-6.2347202433562163E-2</v>
      </c>
      <c r="G31" s="12">
        <f>SUM(G28:G30)</f>
        <v>-15586.800608390542</v>
      </c>
      <c r="H31" s="13">
        <f t="shared" si="9"/>
        <v>-6.234720243356217E-2</v>
      </c>
      <c r="I31" s="12">
        <f>SUM(I28:I30)</f>
        <v>-18704.160730068648</v>
      </c>
      <c r="J31" s="13">
        <f t="shared" si="10"/>
        <v>-6.2347202433562163E-2</v>
      </c>
      <c r="K31" s="12">
        <f>SUM(K28:K30)</f>
        <v>-24938.880973424864</v>
      </c>
      <c r="L31" s="13">
        <f t="shared" si="11"/>
        <v>-6.2347202433562163E-2</v>
      </c>
    </row>
    <row r="32" spans="2:12">
      <c r="B32" s="22" t="s">
        <v>37</v>
      </c>
      <c r="C32" s="15"/>
      <c r="D32" s="6">
        <f t="shared" si="7"/>
        <v>0</v>
      </c>
      <c r="E32" s="15"/>
      <c r="F32" s="6">
        <f t="shared" si="8"/>
        <v>0</v>
      </c>
      <c r="G32" s="15"/>
      <c r="H32" s="6">
        <f t="shared" si="9"/>
        <v>0</v>
      </c>
      <c r="I32" s="15"/>
      <c r="J32" s="6">
        <f t="shared" si="10"/>
        <v>0</v>
      </c>
      <c r="K32" s="15"/>
      <c r="L32" s="6">
        <f t="shared" si="11"/>
        <v>0</v>
      </c>
    </row>
    <row r="33" spans="2:12">
      <c r="B33" s="11" t="s">
        <v>38</v>
      </c>
      <c r="C33" s="12">
        <f>C32</f>
        <v>0</v>
      </c>
      <c r="D33" s="13">
        <f t="shared" si="7"/>
        <v>0</v>
      </c>
      <c r="E33" s="12">
        <f>E32</f>
        <v>0</v>
      </c>
      <c r="F33" s="13">
        <f t="shared" si="8"/>
        <v>0</v>
      </c>
      <c r="G33" s="12">
        <f>G32</f>
        <v>0</v>
      </c>
      <c r="H33" s="13">
        <f t="shared" si="9"/>
        <v>0</v>
      </c>
      <c r="I33" s="12">
        <f>I32</f>
        <v>0</v>
      </c>
      <c r="J33" s="13">
        <f t="shared" si="10"/>
        <v>0</v>
      </c>
      <c r="K33" s="12">
        <f>K32</f>
        <v>0</v>
      </c>
      <c r="L33" s="13">
        <f t="shared" si="11"/>
        <v>0</v>
      </c>
    </row>
    <row r="34" spans="2:12">
      <c r="B34" s="22" t="s">
        <v>39</v>
      </c>
      <c r="C34" s="15"/>
      <c r="D34" s="6">
        <f t="shared" si="7"/>
        <v>0</v>
      </c>
      <c r="E34" s="15"/>
      <c r="F34" s="6">
        <f t="shared" si="8"/>
        <v>0</v>
      </c>
      <c r="G34" s="15"/>
      <c r="H34" s="6">
        <f t="shared" si="9"/>
        <v>0</v>
      </c>
      <c r="I34" s="15"/>
      <c r="J34" s="6">
        <f t="shared" si="10"/>
        <v>0</v>
      </c>
      <c r="K34" s="15"/>
      <c r="L34" s="6">
        <f t="shared" si="11"/>
        <v>0</v>
      </c>
    </row>
    <row r="35" spans="2:12">
      <c r="B35" s="11" t="s">
        <v>40</v>
      </c>
      <c r="C35" s="12">
        <f>C34</f>
        <v>0</v>
      </c>
      <c r="D35" s="13">
        <f t="shared" si="7"/>
        <v>0</v>
      </c>
      <c r="E35" s="12">
        <f>E34</f>
        <v>0</v>
      </c>
      <c r="F35" s="13">
        <f t="shared" si="8"/>
        <v>0</v>
      </c>
      <c r="G35" s="12">
        <f>G34</f>
        <v>0</v>
      </c>
      <c r="H35" s="13">
        <f t="shared" si="9"/>
        <v>0</v>
      </c>
      <c r="I35" s="12">
        <f>I34</f>
        <v>0</v>
      </c>
      <c r="J35" s="13">
        <f t="shared" si="10"/>
        <v>0</v>
      </c>
      <c r="K35" s="12">
        <f>K34</f>
        <v>0</v>
      </c>
      <c r="L35" s="13">
        <f t="shared" si="11"/>
        <v>0</v>
      </c>
    </row>
    <row r="36" spans="2:12">
      <c r="B36" s="22"/>
      <c r="C36" s="15"/>
      <c r="D36" s="16"/>
      <c r="E36" s="15"/>
      <c r="F36" s="16"/>
      <c r="G36" s="15"/>
      <c r="H36" s="16"/>
      <c r="I36" s="15"/>
      <c r="J36" s="16"/>
      <c r="K36" s="15"/>
      <c r="L36" s="16"/>
    </row>
    <row r="37" spans="2:12">
      <c r="B37" s="7" t="s">
        <v>41</v>
      </c>
      <c r="C37" s="8">
        <f>SUM(C35,C33,C31,C27,C20,C17,C16,C13)</f>
        <v>-36618.699032961435</v>
      </c>
      <c r="D37" s="9">
        <f t="shared" ref="D37:F41" si="12">C37/C$3</f>
        <v>-0.24412466021974288</v>
      </c>
      <c r="E37" s="8">
        <f>SUM(E35,E33,E31,E27,E20,E17,E16,E13)</f>
        <v>-45194.010756069794</v>
      </c>
      <c r="F37" s="9">
        <f t="shared" si="12"/>
        <v>-0.22597005378034898</v>
      </c>
      <c r="G37" s="8">
        <f>SUM(G35,G33,G31,G27,G20,G17,G16,G13)</f>
        <v>-53769.322479178154</v>
      </c>
      <c r="H37" s="9">
        <f>G37/G$3</f>
        <v>-0.21507728991671263</v>
      </c>
      <c r="I37" s="8">
        <f>SUM(I35,I33,I31,I27,I20,I17,I16,I13)</f>
        <v>-62344.634202286506</v>
      </c>
      <c r="J37" s="9">
        <f>I37/I$3</f>
        <v>-0.20781544734095503</v>
      </c>
      <c r="K37" s="8">
        <f>SUM(K35,K33,K31,K27,K20,K17,K16,K13)</f>
        <v>-79495.257648503219</v>
      </c>
      <c r="L37" s="9">
        <f>K37/K$3</f>
        <v>-0.19873814412125804</v>
      </c>
    </row>
    <row r="38" spans="2:12">
      <c r="B38" s="23"/>
      <c r="C38" s="24"/>
      <c r="D38" s="25">
        <f t="shared" si="12"/>
        <v>0</v>
      </c>
      <c r="E38" s="24"/>
      <c r="F38" s="25">
        <f t="shared" si="12"/>
        <v>0</v>
      </c>
      <c r="G38" s="24"/>
      <c r="H38" s="25">
        <f>G38/G$3</f>
        <v>0</v>
      </c>
      <c r="I38" s="24"/>
      <c r="J38" s="25">
        <f>I38/I$3</f>
        <v>0</v>
      </c>
      <c r="K38" s="24"/>
      <c r="L38" s="25">
        <f>K38/K$3</f>
        <v>0</v>
      </c>
    </row>
    <row r="39" spans="2:12">
      <c r="B39" s="26" t="s">
        <v>42</v>
      </c>
      <c r="C39" s="27"/>
      <c r="D39" s="6">
        <f t="shared" si="12"/>
        <v>0</v>
      </c>
      <c r="E39" s="27"/>
      <c r="F39" s="6">
        <f t="shared" si="12"/>
        <v>0</v>
      </c>
      <c r="G39" s="27"/>
      <c r="H39" s="6">
        <f>G39/G$3</f>
        <v>0</v>
      </c>
      <c r="I39" s="27"/>
      <c r="J39" s="6">
        <f>I39/I$3</f>
        <v>0</v>
      </c>
      <c r="K39" s="27"/>
      <c r="L39" s="6">
        <f>K39/K$3</f>
        <v>0</v>
      </c>
    </row>
    <row r="40" spans="2:12">
      <c r="B40" s="28" t="s">
        <v>43</v>
      </c>
      <c r="C40" s="29">
        <f>C3*-4%</f>
        <v>-6000</v>
      </c>
      <c r="D40" s="6">
        <f t="shared" si="12"/>
        <v>-0.04</v>
      </c>
      <c r="E40" s="29">
        <f>E3*-4%</f>
        <v>-8000</v>
      </c>
      <c r="F40" s="6">
        <f t="shared" si="12"/>
        <v>-0.04</v>
      </c>
      <c r="G40" s="29">
        <f>G3*-4%</f>
        <v>-10000</v>
      </c>
      <c r="H40" s="6">
        <f>G40/G$3</f>
        <v>-0.04</v>
      </c>
      <c r="I40" s="29">
        <f>I3*-4%</f>
        <v>-12000</v>
      </c>
      <c r="J40" s="6">
        <f>I40/I$3</f>
        <v>-0.04</v>
      </c>
      <c r="K40" s="29">
        <f>K3*-4%</f>
        <v>-16000</v>
      </c>
      <c r="L40" s="6">
        <f>K40/K$3</f>
        <v>-0.04</v>
      </c>
    </row>
    <row r="41" spans="2:12">
      <c r="B41" s="11" t="s">
        <v>44</v>
      </c>
      <c r="C41" s="12">
        <f>SUM(C39:C40)</f>
        <v>-6000</v>
      </c>
      <c r="D41" s="13">
        <f t="shared" si="12"/>
        <v>-0.04</v>
      </c>
      <c r="E41" s="12">
        <f>SUM(E39:E40)</f>
        <v>-8000</v>
      </c>
      <c r="F41" s="13">
        <f t="shared" si="12"/>
        <v>-0.04</v>
      </c>
      <c r="G41" s="12">
        <f>SUM(G39:G40)</f>
        <v>-10000</v>
      </c>
      <c r="H41" s="13">
        <f>G41/G$3</f>
        <v>-0.04</v>
      </c>
      <c r="I41" s="12">
        <f>SUM(I39:I40)</f>
        <v>-12000</v>
      </c>
      <c r="J41" s="13">
        <f>I41/I$3</f>
        <v>-0.04</v>
      </c>
      <c r="K41" s="12">
        <f>SUM(K39:K40)</f>
        <v>-16000</v>
      </c>
      <c r="L41" s="13">
        <f>K41/K$3</f>
        <v>-0.04</v>
      </c>
    </row>
    <row r="42" spans="2:12">
      <c r="B42" s="22"/>
      <c r="C42" s="15"/>
      <c r="D42" s="16"/>
      <c r="E42" s="15"/>
      <c r="F42" s="16"/>
      <c r="G42" s="15"/>
      <c r="H42" s="16"/>
      <c r="I42" s="15"/>
      <c r="J42" s="16"/>
      <c r="K42" s="15"/>
      <c r="L42" s="16"/>
    </row>
    <row r="43" spans="2:12" ht="13.5" thickBot="1">
      <c r="B43" s="30" t="s">
        <v>45</v>
      </c>
      <c r="C43" s="31">
        <f>C41</f>
        <v>-6000</v>
      </c>
      <c r="D43" s="32">
        <f>C43/C$3</f>
        <v>-0.04</v>
      </c>
      <c r="E43" s="31">
        <f>E41</f>
        <v>-8000</v>
      </c>
      <c r="F43" s="32">
        <f>E43/E$3</f>
        <v>-0.04</v>
      </c>
      <c r="G43" s="31">
        <f>G41</f>
        <v>-10000</v>
      </c>
      <c r="H43" s="32">
        <f>G43/G$3</f>
        <v>-0.04</v>
      </c>
      <c r="I43" s="31">
        <f>I41</f>
        <v>-12000</v>
      </c>
      <c r="J43" s="32">
        <f>I43/I$3</f>
        <v>-0.04</v>
      </c>
      <c r="K43" s="31">
        <f>K41</f>
        <v>-16000</v>
      </c>
      <c r="L43" s="32">
        <f>K43/K$3</f>
        <v>-0.04</v>
      </c>
    </row>
    <row r="44" spans="2:12" ht="13.5" thickBot="1"/>
    <row r="45" spans="2:12" ht="13.5" thickBot="1">
      <c r="B45" s="33" t="s">
        <v>46</v>
      </c>
      <c r="C45" s="34">
        <f>C37+C43+C12</f>
        <v>49890.936106880908</v>
      </c>
      <c r="D45" s="35">
        <f>C45/C$3</f>
        <v>0.33260624071253941</v>
      </c>
      <c r="E45" s="34">
        <f>E37+E43+E12</f>
        <v>74138.629421204852</v>
      </c>
      <c r="F45" s="35">
        <f>E45/E$3</f>
        <v>0.37069314710602425</v>
      </c>
      <c r="G45" s="34">
        <f>G37+G43+G12</f>
        <v>95396.477742415169</v>
      </c>
      <c r="H45" s="35">
        <f>G45/G$3</f>
        <v>0.38158591096966066</v>
      </c>
      <c r="I45" s="34">
        <f>I37+I43+I12</f>
        <v>116654.32606362549</v>
      </c>
      <c r="J45" s="35">
        <f>I45/I$3</f>
        <v>0.38884775354541828</v>
      </c>
      <c r="K45" s="34">
        <f>K37+K43+K12</f>
        <v>159170.02270604606</v>
      </c>
      <c r="L45" s="35">
        <f>K45/K$3</f>
        <v>0.39792505676511514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&amp;C&amp;"Calibri"&amp;10&amp;K0000FF Classificação da Informação: Publico&amp;1#_x000D_</oddHeader>
    <oddFooter>&amp;C_x000D_&amp;1#&amp;"Calibri"&amp;10&amp;K0000FF Classificação da Informação: Publico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SIMPLES NACIONAL</vt:lpstr>
      <vt:lpstr>PREMISSAS</vt:lpstr>
      <vt:lpstr>LUCRO REAL c. PIS_COFINS</vt:lpstr>
      <vt:lpstr>PREMISSAS!Area_de_impressao</vt:lpstr>
      <vt:lpstr>'SIMPLES NACIONAL'!Area_de_impressao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 Oliveira Ferraz Medeiros</dc:creator>
  <cp:lastModifiedBy>Priscila Guimarães Lopes</cp:lastModifiedBy>
  <dcterms:created xsi:type="dcterms:W3CDTF">2025-10-16T13:26:04Z</dcterms:created>
  <dcterms:modified xsi:type="dcterms:W3CDTF">2026-07-02T20:50:03Z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d61929-3995-4d18-8d02-871c75ae577f_Enabled">
    <vt:lpwstr>true</vt:lpwstr>
  </property>
  <property fmtid="{D5CDD505-2E9C-101B-9397-08002B2CF9AE}" pid="3" name="MSIP_Label_8dd61929-3995-4d18-8d02-871c75ae577f_SetDate">
    <vt:lpwstr>2025-10-16T14:37:55Z</vt:lpwstr>
  </property>
  <property fmtid="{D5CDD505-2E9C-101B-9397-08002B2CF9AE}" pid="4" name="MSIP_Label_8dd61929-3995-4d18-8d02-871c75ae577f_Method">
    <vt:lpwstr>Privileged</vt:lpwstr>
  </property>
  <property fmtid="{D5CDD505-2E9C-101B-9397-08002B2CF9AE}" pid="5" name="MSIP_Label_8dd61929-3995-4d18-8d02-871c75ae577f_Name">
    <vt:lpwstr>Confidencial</vt:lpwstr>
  </property>
  <property fmtid="{D5CDD505-2E9C-101B-9397-08002B2CF9AE}" pid="6" name="MSIP_Label_8dd61929-3995-4d18-8d02-871c75ae577f_SiteId">
    <vt:lpwstr>086186f5-0997-432e-a865-ddac2fcc98a3</vt:lpwstr>
  </property>
  <property fmtid="{D5CDD505-2E9C-101B-9397-08002B2CF9AE}" pid="7" name="MSIP_Label_8dd61929-3995-4d18-8d02-871c75ae577f_ActionId">
    <vt:lpwstr>986ae956-0a93-4709-a033-3f115660e688</vt:lpwstr>
  </property>
  <property fmtid="{D5CDD505-2E9C-101B-9397-08002B2CF9AE}" pid="8" name="MSIP_Label_8dd61929-3995-4d18-8d02-871c75ae577f_ContentBits">
    <vt:lpwstr>3</vt:lpwstr>
  </property>
  <property fmtid="{D5CDD505-2E9C-101B-9397-08002B2CF9AE}" pid="9" name="MSIP_Label_8dd61929-3995-4d18-8d02-871c75ae577f_Tag">
    <vt:lpwstr>10, 0, 1, 1</vt:lpwstr>
  </property>
</Properties>
</file>